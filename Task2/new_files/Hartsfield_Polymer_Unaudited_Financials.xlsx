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H1 2026 Interim 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" t="inlineStr">
        <is>
          <t>Hartsfield Polymer Technologies, LLC</t>
        </is>
      </c>
    </row>
    <row r="2">
      <c r="A2" s="1" t="inlineStr">
        <is>
          <t>Income Statement (Unaudited)</t>
        </is>
      </c>
    </row>
    <row r="3">
      <c r="A3" s="1" t="inlineStr">
        <is>
          <t>For the year ended Dec 31, 2025 (in USD)</t>
        </is>
      </c>
    </row>
    <row r="4"/>
    <row r="5">
      <c r="A5" t="inlineStr">
        <is>
          <t>Sales Revenue</t>
        </is>
      </c>
      <c r="B5" s="2" t="n">
        <v>10435200</v>
      </c>
    </row>
    <row r="6">
      <c r="A6" t="inlineStr">
        <is>
          <t>Cost of Goods Sold (COGS)</t>
        </is>
      </c>
      <c r="B6" s="2" t="n">
        <v>7215000</v>
      </c>
    </row>
    <row r="7">
      <c r="A7" t="inlineStr">
        <is>
          <t>Gross Profit</t>
        </is>
      </c>
      <c r="B7" s="2">
        <f>B5-B6</f>
        <v/>
      </c>
    </row>
    <row r="8">
      <c r="A8" t="inlineStr">
        <is>
          <t>Selling, General &amp; Admin (SG&amp;A)</t>
        </is>
      </c>
      <c r="B8" s="2" t="n">
        <v>2195000</v>
      </c>
    </row>
    <row r="9">
      <c r="A9" t="inlineStr">
        <is>
          <t>Depreciation &amp; Amortization</t>
        </is>
      </c>
      <c r="B9" s="2" t="n">
        <v>219750</v>
      </c>
    </row>
    <row r="10">
      <c r="A10" t="inlineStr">
        <is>
          <t>Earnings Before Interest and Taxes (EBIT)</t>
        </is>
      </c>
      <c r="B10" s="2">
        <f>B7-B8-B9</f>
        <v/>
      </c>
    </row>
    <row r="11">
      <c r="A11" t="inlineStr">
        <is>
          <t>Interest Expense</t>
        </is>
      </c>
      <c r="B11" s="2" t="n">
        <v>110500</v>
      </c>
    </row>
    <row r="12">
      <c r="A12" t="inlineStr">
        <is>
          <t>Earnings Before Taxes (EBT)</t>
        </is>
      </c>
      <c r="B12" s="2">
        <f>B10-B11</f>
        <v/>
      </c>
    </row>
    <row r="13">
      <c r="A13" t="inlineStr">
        <is>
          <t>Tax Expense</t>
        </is>
      </c>
      <c r="B13" s="2" t="n">
        <v>198000</v>
      </c>
    </row>
    <row r="14">
      <c r="A14" t="inlineStr">
        <is>
          <t>Net Income</t>
        </is>
      </c>
      <c r="B14" s="2">
        <f>B12-B13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1" t="inlineStr">
        <is>
          <t>Hartsfield Polymer Technologies, LLC</t>
        </is>
      </c>
      <c r="B1" s="1" t="inlineStr"/>
      <c r="C1" s="1" t="inlineStr"/>
    </row>
    <row r="2">
      <c r="A2" s="1" t="inlineStr">
        <is>
          <t>Balance Sheet (Unaudited)</t>
        </is>
      </c>
      <c r="B2" s="1" t="inlineStr"/>
      <c r="C2" s="1" t="inlineStr"/>
    </row>
    <row r="3">
      <c r="A3" s="1" t="inlineStr">
        <is>
          <t>As of Dec 31 (in USD)</t>
        </is>
      </c>
      <c r="B3" s="1" t="inlineStr">
        <is>
          <t>2025</t>
        </is>
      </c>
      <c r="C3" s="1" t="inlineStr">
        <is>
          <t>2024</t>
        </is>
      </c>
    </row>
    <row r="4"/>
    <row r="5">
      <c r="A5" t="inlineStr">
        <is>
          <t>ASSETS</t>
        </is>
      </c>
    </row>
    <row r="6">
      <c r="A6" t="inlineStr">
        <is>
          <t>Cash and Cash Equivalents</t>
        </is>
      </c>
      <c r="B6" s="2" t="n">
        <v>485200</v>
      </c>
      <c r="C6" s="2" t="n">
        <v>431500</v>
      </c>
    </row>
    <row r="7">
      <c r="A7" t="inlineStr">
        <is>
          <t>Accounts Receivable</t>
        </is>
      </c>
      <c r="B7" s="2" t="n">
        <v>1515000</v>
      </c>
      <c r="C7" s="2" t="n">
        <v>1420100</v>
      </c>
    </row>
    <row r="8">
      <c r="A8" t="inlineStr">
        <is>
          <t>Inventory</t>
        </is>
      </c>
      <c r="B8" s="2" t="n">
        <v>1935000</v>
      </c>
      <c r="C8" s="2" t="n">
        <v>1851000</v>
      </c>
    </row>
    <row r="9">
      <c r="A9" t="inlineStr">
        <is>
          <t>Prepaid Expenses</t>
        </is>
      </c>
      <c r="B9" s="2" t="n">
        <v>180000</v>
      </c>
      <c r="C9" s="2" t="n">
        <v>145000</v>
      </c>
    </row>
    <row r="10">
      <c r="A10" t="inlineStr">
        <is>
          <t>Total Current Assets</t>
        </is>
      </c>
      <c r="B10" s="2">
        <f>SUM(B6:B9)</f>
        <v/>
      </c>
      <c r="C10" s="2">
        <f>SUM(C6:C9)</f>
        <v/>
      </c>
    </row>
    <row r="11">
      <c r="A11" t="inlineStr">
        <is>
          <t>Property, Plant &amp; Equipment (Net)</t>
        </is>
      </c>
      <c r="B11" s="2" t="n">
        <v>5235300</v>
      </c>
      <c r="C11" s="2" t="n">
        <v>5812000</v>
      </c>
    </row>
    <row r="12">
      <c r="A12" t="inlineStr">
        <is>
          <t>Intangibles &amp; Goodwill</t>
        </is>
      </c>
      <c r="B12" s="2" t="n">
        <v>832000</v>
      </c>
      <c r="C12" s="2" t="n">
        <v>515000</v>
      </c>
    </row>
    <row r="13">
      <c r="A13" t="inlineStr">
        <is>
          <t>Total Assets</t>
        </is>
      </c>
      <c r="B13" s="2">
        <f>B10+B11+B12</f>
        <v/>
      </c>
      <c r="C13" s="2">
        <f>C10+C11+C12</f>
        <v/>
      </c>
    </row>
    <row r="14"/>
    <row r="15">
      <c r="A15" t="inlineStr">
        <is>
          <t>LIABILITIES</t>
        </is>
      </c>
    </row>
    <row r="16">
      <c r="A16" t="inlineStr">
        <is>
          <t>Accounts Payable</t>
        </is>
      </c>
      <c r="B16" s="2" t="n">
        <v>1185000</v>
      </c>
      <c r="C16" s="2" t="n">
        <v>1095000</v>
      </c>
    </row>
    <row r="17">
      <c r="A17" t="inlineStr">
        <is>
          <t>Short-Term Debt</t>
        </is>
      </c>
      <c r="B17" s="2" t="n">
        <v>1525500</v>
      </c>
      <c r="C17" s="2" t="n">
        <v>1750000</v>
      </c>
    </row>
    <row r="18">
      <c r="A18" t="inlineStr">
        <is>
          <t>Accrued Liabilities</t>
        </is>
      </c>
      <c r="B18" s="2" t="n">
        <v>474000</v>
      </c>
      <c r="C18" s="2" t="n">
        <v>482000</v>
      </c>
    </row>
    <row r="19">
      <c r="A19" t="inlineStr">
        <is>
          <t>Total Current Liabilities</t>
        </is>
      </c>
      <c r="B19" s="2">
        <f>SUM(B16:B18)</f>
        <v/>
      </c>
      <c r="C19" s="2">
        <f>SUM(C16:C18)</f>
        <v/>
      </c>
    </row>
    <row r="20">
      <c r="A20" t="inlineStr">
        <is>
          <t>Long-Term Debt</t>
        </is>
      </c>
      <c r="B20" s="2" t="n">
        <v>4061100</v>
      </c>
      <c r="C20" s="2" t="n">
        <v>3755000</v>
      </c>
    </row>
    <row r="21">
      <c r="A21" t="inlineStr">
        <is>
          <t>Total Liabilities</t>
        </is>
      </c>
      <c r="B21" s="2">
        <f>B19+B20</f>
        <v/>
      </c>
      <c r="C21" s="2">
        <f>C19+C20</f>
        <v/>
      </c>
    </row>
    <row r="22"/>
    <row r="23">
      <c r="A23" t="inlineStr">
        <is>
          <t>EQUITY</t>
        </is>
      </c>
    </row>
    <row r="24">
      <c r="A24" t="inlineStr">
        <is>
          <t>Common Stock</t>
        </is>
      </c>
      <c r="B24" s="2" t="n">
        <v>2000000</v>
      </c>
      <c r="C24" s="2" t="n">
        <v>2000000</v>
      </c>
    </row>
    <row r="25">
      <c r="A25" t="inlineStr">
        <is>
          <t>Retained Earnings</t>
        </is>
      </c>
      <c r="B25" s="2" t="n">
        <v>936900</v>
      </c>
      <c r="C25" s="2" t="n">
        <v>1092600</v>
      </c>
    </row>
    <row r="26">
      <c r="A26" t="inlineStr">
        <is>
          <t>Total Equity (Book Value)</t>
        </is>
      </c>
      <c r="B26" s="2">
        <f>B24+B25</f>
        <v/>
      </c>
      <c r="C26" s="2">
        <f>C24+C25</f>
        <v/>
      </c>
    </row>
    <row r="27">
      <c r="A27" t="inlineStr">
        <is>
          <t>Total Liabilities &amp; Equity</t>
        </is>
      </c>
      <c r="B27" s="2">
        <f>B21+B26</f>
        <v/>
      </c>
      <c r="C27" s="2">
        <f>C21+C26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" t="inlineStr">
        <is>
          <t>Hartsfield Polymer Technologies, LLC</t>
        </is>
      </c>
      <c r="B1" s="1" t="inlineStr"/>
    </row>
    <row r="2">
      <c r="A2" s="1" t="inlineStr">
        <is>
          <t>Interim Income Statement (Unaudited)</t>
        </is>
      </c>
      <c r="B2" s="1" t="inlineStr"/>
    </row>
    <row r="3">
      <c r="A3" s="1" t="inlineStr">
        <is>
          <t>For the 6 months ended Jun 30, 2026 (in USD)</t>
        </is>
      </c>
      <c r="B3" s="1" t="inlineStr"/>
    </row>
    <row r="4"/>
    <row r="5">
      <c r="A5" t="inlineStr">
        <is>
          <t>Sales Revenue</t>
        </is>
      </c>
      <c r="B5" s="2" t="n">
        <v>5865200</v>
      </c>
    </row>
    <row r="6">
      <c r="A6" t="inlineStr">
        <is>
          <t>Cost of Goods Sold (COGS)</t>
        </is>
      </c>
      <c r="B6" s="2" t="n">
        <v>4452100</v>
      </c>
    </row>
    <row r="7">
      <c r="A7" t="inlineStr">
        <is>
          <t>Gross Profit</t>
        </is>
      </c>
      <c r="B7" s="2">
        <f>B5-B6</f>
        <v/>
      </c>
    </row>
    <row r="8">
      <c r="A8" t="inlineStr">
        <is>
          <t>Selling, General &amp; Admin (SG&amp;A)</t>
        </is>
      </c>
      <c r="B8" s="2" t="n">
        <v>1162500</v>
      </c>
    </row>
    <row r="9">
      <c r="A9" t="inlineStr">
        <is>
          <t>Depreciation &amp; Amortization</t>
        </is>
      </c>
      <c r="B9" s="2" t="n">
        <v>105000</v>
      </c>
    </row>
    <row r="10">
      <c r="A10" t="inlineStr">
        <is>
          <t>Earnings Before Interest and Taxes (EBIT)</t>
        </is>
      </c>
      <c r="B10" s="2">
        <f>B7-B8-B9</f>
        <v/>
      </c>
    </row>
    <row r="11">
      <c r="A11" t="inlineStr">
        <is>
          <t>Interest Expense</t>
        </is>
      </c>
      <c r="B11" s="2" t="n">
        <v>135000</v>
      </c>
    </row>
    <row r="12">
      <c r="A12" t="inlineStr">
        <is>
          <t>Earnings Before Taxes (EBT)</t>
        </is>
      </c>
      <c r="B12" s="2">
        <f>B10-B11</f>
        <v/>
      </c>
    </row>
    <row r="13">
      <c r="A13" t="inlineStr">
        <is>
          <t>Tax Expense</t>
        </is>
      </c>
      <c r="B13" s="2" t="n">
        <v>2226</v>
      </c>
    </row>
    <row r="14">
      <c r="A14" t="inlineStr">
        <is>
          <t>Net Income</t>
        </is>
      </c>
      <c r="B14" s="2">
        <f>B12-B13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2026-09-06T16:16:54Z</dcterms:created>
  <dcterms:modified xmlns:dcterms="http://purl.org/dc/terms/" xmlns:xsi="http://www.w3.org/2001/XMLSchema-instance" xsi:type="dcterms:W3CDTF">2026-09-12T21:28:18Z</dcterms:modified>
</cp:coreProperties>
</file>