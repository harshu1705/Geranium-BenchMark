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stline AR Ledger" sheetId="1" state="visible" r:id="rId1"/>
    <sheet xmlns:r="http://schemas.openxmlformats.org/officeDocument/2006/relationships" name="Accou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Crestline Chemical Supply, Inc. - Internal AR Ledger</t>
        </is>
      </c>
    </row>
    <row r="2">
      <c r="A2" t="inlineStr">
        <is>
          <t>Customer: Hartsfield Polymer Technologies, LLC (Acct # 88392)</t>
        </is>
      </c>
    </row>
    <row r="3">
      <c r="A3" t="inlineStr">
        <is>
          <t>Current Terms: Net 30</t>
        </is>
      </c>
    </row>
    <row r="4">
      <c r="A4" t="inlineStr">
        <is>
          <t>As of Date: August 20, 2026</t>
        </is>
      </c>
    </row>
    <row r="5"/>
    <row r="6">
      <c r="A6" s="1" t="inlineStr">
        <is>
          <t>Invoice #</t>
        </is>
      </c>
      <c r="B6" s="1" t="inlineStr">
        <is>
          <t>Invoice Date</t>
        </is>
      </c>
      <c r="C6" s="1" t="inlineStr">
        <is>
          <t>Amount (USD)</t>
        </is>
      </c>
      <c r="D6" s="1" t="inlineStr">
        <is>
          <t>Due Date</t>
        </is>
      </c>
      <c r="E6" s="1" t="inlineStr">
        <is>
          <t>Date Paid</t>
        </is>
      </c>
      <c r="F6" s="1" t="inlineStr">
        <is>
          <t>Days to Pay (From Inv Date)</t>
        </is>
      </c>
    </row>
    <row r="7">
      <c r="A7" t="inlineStr">
        <is>
          <t>INV-09855</t>
        </is>
      </c>
      <c r="B7" s="2" t="n">
        <v>45976</v>
      </c>
      <c r="C7" s="3" t="n">
        <v>75000</v>
      </c>
      <c r="D7" s="2">
        <f>B7+30</f>
        <v/>
      </c>
      <c r="E7" s="2" t="n">
        <v>46009</v>
      </c>
      <c r="F7" s="4">
        <f>E7-B7</f>
        <v/>
      </c>
    </row>
    <row r="8">
      <c r="A8" t="inlineStr">
        <is>
          <t>INV-09940</t>
        </is>
      </c>
      <c r="B8" s="2" t="n">
        <v>46001</v>
      </c>
      <c r="C8" s="3" t="n">
        <v>82000</v>
      </c>
      <c r="D8" s="2">
        <f>B8+30</f>
        <v/>
      </c>
      <c r="E8" s="2" t="n">
        <v>46036</v>
      </c>
      <c r="F8" s="4">
        <f>E8-B8</f>
        <v/>
      </c>
    </row>
    <row r="9">
      <c r="A9" t="inlineStr">
        <is>
          <t>INV-10101</t>
        </is>
      </c>
      <c r="B9" s="2" t="n">
        <v>46068</v>
      </c>
      <c r="C9" s="3" t="n">
        <v>85000</v>
      </c>
      <c r="D9" s="2">
        <f>B9+30</f>
        <v/>
      </c>
      <c r="E9" s="2" t="n">
        <v>46103</v>
      </c>
      <c r="F9" s="4">
        <f>E9-B9</f>
        <v/>
      </c>
    </row>
    <row r="10">
      <c r="A10" t="inlineStr">
        <is>
          <t>INV-10245</t>
        </is>
      </c>
      <c r="B10" s="2" t="n">
        <v>46091</v>
      </c>
      <c r="C10" s="3" t="n">
        <v>92000</v>
      </c>
      <c r="D10" s="2">
        <f>B10+30</f>
        <v/>
      </c>
      <c r="E10" s="2" t="n">
        <v>46129</v>
      </c>
      <c r="F10" s="4">
        <f>E10-B10</f>
        <v/>
      </c>
    </row>
    <row r="11">
      <c r="A11" t="inlineStr">
        <is>
          <t>INV-10492</t>
        </is>
      </c>
      <c r="B11" s="2" t="n">
        <v>46117</v>
      </c>
      <c r="C11" s="3" t="n">
        <v>88000</v>
      </c>
      <c r="D11" s="2">
        <f>B11+30</f>
        <v/>
      </c>
      <c r="E11" s="2" t="n">
        <v>46160</v>
      </c>
      <c r="F11" s="4">
        <f>E11-B11</f>
        <v/>
      </c>
    </row>
    <row r="12">
      <c r="A12" t="inlineStr">
        <is>
          <t>INV-10611</t>
        </is>
      </c>
      <c r="B12" s="2" t="n">
        <v>46157</v>
      </c>
      <c r="C12" s="3" t="n">
        <v>108740</v>
      </c>
      <c r="D12" s="2">
        <f>B12+30</f>
        <v/>
      </c>
      <c r="E12" s="2" t="n">
        <v>46187</v>
      </c>
      <c r="F12" s="4">
        <f>E12-B12</f>
        <v/>
      </c>
    </row>
    <row r="13">
      <c r="A13" t="inlineStr">
        <is>
          <t>INV-10884</t>
        </is>
      </c>
      <c r="B13" s="2" t="n">
        <v>46167</v>
      </c>
      <c r="C13" s="3" t="n">
        <v>97325</v>
      </c>
      <c r="D13" s="2">
        <f>B13+30</f>
        <v/>
      </c>
      <c r="E13" s="2" t="n">
        <v>46209</v>
      </c>
      <c r="F13" s="4">
        <f>E13-B13</f>
        <v/>
      </c>
    </row>
    <row r="14">
      <c r="A14" t="inlineStr">
        <is>
          <t>INV-11005</t>
        </is>
      </c>
      <c r="B14" s="2" t="n">
        <v>46178</v>
      </c>
      <c r="C14" s="3" t="n">
        <v>141680</v>
      </c>
      <c r="D14" s="2">
        <f>B14+30</f>
        <v/>
      </c>
      <c r="E14" s="2" t="n">
        <v>46222</v>
      </c>
      <c r="F14" s="4">
        <f>E14-B14</f>
        <v/>
      </c>
    </row>
    <row r="15">
      <c r="A15" t="inlineStr">
        <is>
          <t>INV-11230</t>
        </is>
      </c>
      <c r="B15" s="2" t="n">
        <v>46193</v>
      </c>
      <c r="C15" s="3" t="n">
        <v>127950</v>
      </c>
      <c r="D15" s="2">
        <f>B15+30</f>
        <v/>
      </c>
      <c r="E15" s="2" t="n">
        <v>46241</v>
      </c>
      <c r="F15" s="4">
        <f>E15-B15</f>
        <v/>
      </c>
    </row>
    <row r="16">
      <c r="A16" t="inlineStr">
        <is>
          <t>INV-11350</t>
        </is>
      </c>
      <c r="B16" s="2" t="n">
        <v>46205</v>
      </c>
      <c r="C16" s="3" t="n">
        <v>130000</v>
      </c>
      <c r="D16" s="2">
        <f>B16+30</f>
        <v/>
      </c>
      <c r="E16" s="2" t="n">
        <v>46252</v>
      </c>
      <c r="F16" s="4">
        <f>E16-B16</f>
        <v/>
      </c>
    </row>
    <row r="17">
      <c r="A17" t="inlineStr">
        <is>
          <t>INV-11441</t>
        </is>
      </c>
      <c r="B17" s="2" t="n">
        <v>46218</v>
      </c>
      <c r="C17" s="3" t="n">
        <v>150000</v>
      </c>
      <c r="D17" s="2">
        <f>B17+30</f>
        <v/>
      </c>
      <c r="E17" t="inlineStr">
        <is>
          <t>OUTSTANDING</t>
        </is>
      </c>
      <c r="F17" s="4">
        <f>IF(E17="OUTSTANDING","N/A",E17-B17)</f>
        <v/>
      </c>
    </row>
    <row r="18">
      <c r="A18" t="inlineStr">
        <is>
          <t>INV-11650</t>
        </is>
      </c>
      <c r="B18" s="2" t="n">
        <v>46235</v>
      </c>
      <c r="C18" s="3" t="n">
        <v>150000</v>
      </c>
      <c r="D18" s="2">
        <f>B18+30</f>
        <v/>
      </c>
      <c r="E18" t="inlineStr">
        <is>
          <t>OUTSTANDING</t>
        </is>
      </c>
      <c r="F18" s="4">
        <f>IF(E18="OUTSTANDING","N/A",E18-B18)</f>
        <v/>
      </c>
    </row>
    <row r="19">
      <c r="A19" t="inlineStr">
        <is>
          <t>INV-11802</t>
        </is>
      </c>
      <c r="B19" s="2" t="n">
        <v>46244</v>
      </c>
      <c r="C19" s="3" t="n">
        <v>172775</v>
      </c>
      <c r="D19" s="2">
        <f>B19+30</f>
        <v/>
      </c>
      <c r="E19" t="inlineStr">
        <is>
          <t>OUTSTANDING</t>
        </is>
      </c>
      <c r="F19" s="4">
        <f>IF(E19="OUTSTANDING","N/A",E19-B19)</f>
        <v/>
      </c>
    </row>
    <row r="20"/>
    <row r="21">
      <c r="A21" t="inlineStr">
        <is>
          <t>Note: 'Days to Pay' represents the number of days between Invoice Date and Date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Hartsfield Polymer Technologies, LLC - Account Summary</t>
        </is>
      </c>
    </row>
    <row r="2"/>
    <row r="3">
      <c r="A3" t="inlineStr">
        <is>
          <t>Credit Limit</t>
        </is>
      </c>
      <c r="B3" s="3" t="n">
        <v>400000</v>
      </c>
    </row>
    <row r="4">
      <c r="A4" t="inlineStr">
        <is>
          <t>Current Balance</t>
        </is>
      </c>
      <c r="B4" s="3">
        <f>'Crestline AR Ledger'!C17+'Crestline AR Ledger'!C18+'Crestline AR Ledger'!C19</f>
        <v/>
      </c>
    </row>
    <row r="5">
      <c r="A5" t="inlineStr">
        <is>
          <t>Available Credit</t>
        </is>
      </c>
      <c r="B5" s="3">
        <f>B3-B4</f>
        <v/>
      </c>
    </row>
    <row r="6"/>
    <row r="7">
      <c r="A7" t="inlineStr">
        <is>
          <t>Aging Summary</t>
        </is>
      </c>
      <c r="B7" t="inlineStr">
        <is>
          <t>Amount (USD)</t>
        </is>
      </c>
    </row>
    <row r="8">
      <c r="A8" t="inlineStr">
        <is>
          <t>Current (Not Yet Due)</t>
        </is>
      </c>
      <c r="B8" s="3" t="n">
        <v>322775</v>
      </c>
    </row>
    <row r="9">
      <c r="A9" t="inlineStr">
        <is>
          <t>1-30 Days Past Due</t>
        </is>
      </c>
      <c r="B9" s="3" t="n">
        <v>150000</v>
      </c>
    </row>
    <row r="10">
      <c r="A10" t="inlineStr">
        <is>
          <t>31-60 Days Past Due</t>
        </is>
      </c>
      <c r="B10" s="3" t="n">
        <v>0</v>
      </c>
    </row>
    <row r="11">
      <c r="A11" t="inlineStr">
        <is>
          <t>61-90 Days Past Due</t>
        </is>
      </c>
      <c r="B11" s="3" t="n">
        <v>0</v>
      </c>
    </row>
    <row r="12">
      <c r="A12" t="inlineStr">
        <is>
          <t>91+ Days Past Due</t>
        </is>
      </c>
      <c r="B12" s="3" t="n">
        <v>0</v>
      </c>
    </row>
    <row r="13">
      <c r="A13" t="inlineStr">
        <is>
          <t>Total Outstanding</t>
        </is>
      </c>
      <c r="B13" s="3">
        <f>SUM(B8:B12)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2026-09-06T16:16:54Z</dcterms:created>
  <dcterms:modified xmlns:dcterms="http://purl.org/dc/terms/" xmlns:xsi="http://www.w3.org/2001/XMLSchema-instance" xsi:type="dcterms:W3CDTF">2026-09-12T21:30:15Z</dcterms:modified>
</cp:coreProperties>
</file>