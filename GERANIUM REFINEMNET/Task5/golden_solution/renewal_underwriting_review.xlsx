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Executive_Summary" sheetId="1" state="visible" r:id="rId1"/>
    <sheet xmlns:r="http://schemas.openxmlformats.org/officeDocument/2006/relationships" name="Account_Routing" sheetId="2" state="visible" r:id="rId2"/>
    <sheet xmlns:r="http://schemas.openxmlformats.org/officeDocument/2006/relationships" name="Location_Exceptions" sheetId="3" state="visible" r:id="rId3"/>
    <sheet xmlns:r="http://schemas.openxmlformats.org/officeDocument/2006/relationships" name="Loss_Reconciliation" sheetId="4" state="visible" r:id="rId4"/>
    <sheet xmlns:r="http://schemas.openxmlformats.org/officeDocument/2006/relationships" name="Rules_Citations" sheetId="5" state="visible" r:id="rId5"/>
    <sheet xmlns:r="http://schemas.openxmlformats.org/officeDocument/2006/relationships" name="Decision_Notes" sheetId="6" state="visible" r:id="rId6"/>
    <sheet xmlns:r="http://schemas.openxmlformats.org/officeDocument/2006/relationships" name="Src_Accounts" sheetId="7" state="visible" r:id="rId7"/>
    <sheet xmlns:r="http://schemas.openxmlformats.org/officeDocument/2006/relationships" name="Src_Locations" sheetId="8" state="visible" r:id="rId8"/>
    <sheet xmlns:r="http://schemas.openxmlformats.org/officeDocument/2006/relationships" name="Src_LossRun" sheetId="9" state="visible" r:id="rId9"/>
  </sheets>
  <definedNames>
    <definedName name="_xlnm._FilterDatabase" localSheetId="1" hidden="1">'Account_Routing'!$A$1:$AD$37</definedName>
    <definedName name="_xlnm._FilterDatabase" localSheetId="2" hidden="1">'Location_Exceptions'!$A$1:$J$15</definedName>
    <definedName name="_xlnm._FilterDatabase" localSheetId="3" hidden="1">'Loss_Reconciliation'!$A$1:$P$37</definedName>
    <definedName name="_xlnm._FilterDatabase" localSheetId="6" hidden="1">'Src_Accounts'!$A$1:$K$37</definedName>
    <definedName name="_xlnm._FilterDatabase" localSheetId="7" hidden="1">'Src_Locations'!$A$1:$R$76</definedName>
    <definedName name="_xlnm._FilterDatabase" localSheetId="8" hidden="1">'Src_LossRun'!$A$1:$J$43</definedName>
  </definedNames>
  <calcPr calcId="124519" fullCalcOnLoad="1" refMode="A1" iterate="0" iterateCount="100" iterateDelta="0.0001"/>
</workbook>
</file>

<file path=xl/styles.xml><?xml version="1.0" encoding="utf-8"?>
<styleSheet xmlns="http://schemas.openxmlformats.org/spreadsheetml/2006/main">
  <numFmts count="4">
    <numFmt numFmtId="164" formatCode="yyyy\-mm\-dd"/>
    <numFmt numFmtId="165" formatCode="\$#,##0"/>
    <numFmt numFmtId="166" formatCode="0.0%"/>
    <numFmt numFmtId="167" formatCode="0.0"/>
  </numFmts>
  <fonts count="11">
    <font>
      <name val="Calibri"/>
      <charset val="1"/>
      <family val="2"/>
      <color theme="1"/>
      <sz val="11"/>
    </font>
    <font>
      <name val="Arial"/>
      <family val="0"/>
      <sz val="10"/>
    </font>
    <font>
      <name val="Arial"/>
      <family val="0"/>
      <sz val="10"/>
    </font>
    <font>
      <name val="Arial"/>
      <family val="0"/>
      <sz val="10"/>
    </font>
    <font>
      <name val="Calibri"/>
      <charset val="1"/>
      <family val="0"/>
      <b val="1"/>
      <sz val="14"/>
    </font>
    <font>
      <name val="Calibri"/>
      <charset val="1"/>
      <family val="0"/>
      <i val="1"/>
      <sz val="9"/>
    </font>
    <font>
      <name val="Calibri"/>
      <charset val="1"/>
      <family val="0"/>
      <b val="1"/>
      <sz val="11"/>
    </font>
    <font>
      <name val="Calibri"/>
      <charset val="1"/>
      <family val="0"/>
      <sz val="10"/>
    </font>
    <font>
      <name val="Calibri"/>
      <charset val="1"/>
      <family val="0"/>
      <b val="1"/>
      <color rgb="FFFFFFFF"/>
      <sz val="10"/>
    </font>
    <font>
      <name val="Calibri"/>
      <charset val="1"/>
      <family val="0"/>
      <b val="1"/>
      <sz val="10"/>
    </font>
    <font>
      <name val="Calibri"/>
      <b val="1"/>
      <color rgb="FFFFFFFF"/>
      <sz val="11"/>
    </font>
  </fonts>
  <fills count="4">
    <fill>
      <patternFill/>
    </fill>
    <fill>
      <patternFill patternType="gray125"/>
    </fill>
    <fill>
      <patternFill patternType="solid">
        <fgColor rgb="FF1F3864"/>
        <bgColor rgb="FF333333"/>
      </patternFill>
    </fill>
    <fill>
      <patternFill patternType="solid">
        <fgColor rgb="FF2D2D2D"/>
        <bgColor rgb="FF2D2D2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1" applyAlignment="1" pivotButton="0" quotePrefix="0" xfId="0">
      <alignment horizontal="general" vertical="bottom"/>
    </xf>
    <xf numFmtId="164" fontId="7" fillId="0" borderId="1" applyAlignment="1" pivotButton="0" quotePrefix="0" xfId="0">
      <alignment horizontal="general" vertical="bottom"/>
    </xf>
    <xf numFmtId="9" fontId="7" fillId="0" borderId="1" applyAlignment="1" pivotButton="0" quotePrefix="0" xfId="0">
      <alignment horizontal="general" vertical="bottom"/>
    </xf>
    <xf numFmtId="165" fontId="7" fillId="0" borderId="1" applyAlignment="1" pivotButton="0" quotePrefix="0" xfId="0">
      <alignment horizontal="general" vertical="bottom"/>
    </xf>
    <xf numFmtId="0" fontId="8" fillId="2" borderId="1" applyAlignment="1" pivotButton="0" quotePrefix="0" xfId="0">
      <alignment horizontal="center" vertical="center" wrapText="1"/>
    </xf>
    <xf numFmtId="166" fontId="7" fillId="0" borderId="1" applyAlignment="1" pivotButton="0" quotePrefix="0" xfId="0">
      <alignment horizontal="general" vertical="bottom"/>
    </xf>
    <xf numFmtId="0" fontId="7" fillId="0" borderId="1" applyAlignment="1" pivotButton="0" quotePrefix="0" xfId="0">
      <alignment horizontal="general" vertical="top" wrapText="1"/>
    </xf>
    <xf numFmtId="0" fontId="9" fillId="0" borderId="1" applyAlignment="1" pivotButton="0" quotePrefix="0" xfId="0">
      <alignment horizontal="general" vertical="bottom"/>
    </xf>
    <xf numFmtId="0" fontId="0" fillId="0" borderId="0" applyAlignment="1" pivotButton="0" quotePrefix="0" xfId="0">
      <alignment horizontal="general" vertical="top" wrapText="1"/>
    </xf>
    <xf numFmtId="0" fontId="7" fillId="0" borderId="1" applyAlignment="1" pivotButton="0" quotePrefix="0" xfId="0">
      <alignment horizontal="general" vertical="top"/>
    </xf>
    <xf numFmtId="4" fontId="7" fillId="0" borderId="1" applyAlignment="1" pivotButton="0" quotePrefix="0" xfId="0">
      <alignment horizontal="general" vertical="top"/>
    </xf>
    <xf numFmtId="10" fontId="7" fillId="0" borderId="1" applyAlignment="1" pivotButton="0" quotePrefix="0" xfId="0">
      <alignment horizontal="general" vertical="top"/>
    </xf>
    <xf numFmtId="3" fontId="7" fillId="0" borderId="1" applyAlignment="1" pivotButton="0" quotePrefix="0" xfId="0">
      <alignment horizontal="general" vertical="top"/>
    </xf>
    <xf numFmtId="166" fontId="7" fillId="0" borderId="1" applyAlignment="1" pivotButton="0" quotePrefix="0" xfId="0">
      <alignment horizontal="general" vertical="top"/>
    </xf>
    <xf numFmtId="0" fontId="9" fillId="0" borderId="1" applyAlignment="1" pivotButton="0" quotePrefix="0" xfId="0">
      <alignment horizontal="general" vertical="top"/>
    </xf>
    <xf numFmtId="167" fontId="7" fillId="0" borderId="1" applyAlignment="1" pivotButton="0" quotePrefix="0" xfId="0">
      <alignment horizontal="general" vertical="top"/>
    </xf>
    <xf numFmtId="0" fontId="0" fillId="0" borderId="0" applyAlignment="1" pivotButton="0" quotePrefix="0" xfId="0">
      <alignment horizontal="general" vertical="bottom" wrapText="1"/>
    </xf>
    <xf numFmtId="164" fontId="7" fillId="0" borderId="1" applyAlignment="1" pivotButton="0" quotePrefix="0" xfId="0">
      <alignment horizontal="general" vertical="top"/>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1" applyAlignment="1" pivotButton="0" quotePrefix="0" xfId="0">
      <alignment horizontal="general" vertical="bottom"/>
    </xf>
    <xf numFmtId="164" fontId="7" fillId="0" borderId="1" applyAlignment="1" pivotButton="0" quotePrefix="0" xfId="0">
      <alignment horizontal="general" vertical="bottom"/>
    </xf>
    <xf numFmtId="9" fontId="7" fillId="0" borderId="1" applyAlignment="1" pivotButton="0" quotePrefix="0" xfId="0">
      <alignment horizontal="general" vertical="bottom"/>
    </xf>
    <xf numFmtId="165" fontId="7" fillId="0" borderId="1" applyAlignment="1" pivotButton="0" quotePrefix="0" xfId="0">
      <alignment horizontal="general" vertical="bottom"/>
    </xf>
    <xf numFmtId="0" fontId="10" fillId="3" borderId="1" applyAlignment="1" pivotButton="0" quotePrefix="0" xfId="0">
      <alignment horizontal="center" vertical="center" wrapText="1"/>
    </xf>
    <xf numFmtId="166" fontId="7" fillId="0" borderId="1" applyAlignment="1" pivotButton="0" quotePrefix="0" xfId="0">
      <alignment horizontal="general" vertical="bottom"/>
    </xf>
    <xf numFmtId="0" fontId="7" fillId="0" borderId="1" applyAlignment="1" pivotButton="0" quotePrefix="0" xfId="0">
      <alignment horizontal="general" vertical="top" wrapText="1"/>
    </xf>
    <xf numFmtId="0" fontId="9" fillId="0" borderId="1" applyAlignment="1" pivotButton="0" quotePrefix="0" xfId="0">
      <alignment horizontal="general" vertical="bottom"/>
    </xf>
    <xf numFmtId="0" fontId="0" fillId="0" borderId="0" applyAlignment="1" pivotButton="0" quotePrefix="0" xfId="0">
      <alignment horizontal="general" vertical="top" wrapText="1"/>
    </xf>
    <xf numFmtId="0" fontId="7" fillId="0" borderId="1" applyAlignment="1" pivotButton="0" quotePrefix="0" xfId="0">
      <alignment horizontal="general" vertical="top"/>
    </xf>
    <xf numFmtId="4" fontId="7" fillId="0" borderId="1" applyAlignment="1" pivotButton="0" quotePrefix="0" xfId="0">
      <alignment horizontal="general" vertical="top"/>
    </xf>
    <xf numFmtId="10" fontId="7" fillId="0" borderId="1" applyAlignment="1" pivotButton="0" quotePrefix="0" xfId="0">
      <alignment horizontal="general" vertical="top"/>
    </xf>
    <xf numFmtId="3" fontId="7" fillId="0" borderId="1" applyAlignment="1" pivotButton="0" quotePrefix="0" xfId="0">
      <alignment horizontal="general" vertical="top"/>
    </xf>
    <xf numFmtId="166" fontId="7" fillId="0" borderId="1" applyAlignment="1" pivotButton="0" quotePrefix="0" xfId="0">
      <alignment horizontal="general" vertical="top"/>
    </xf>
    <xf numFmtId="0" fontId="9" fillId="0" borderId="1" applyAlignment="1" pivotButton="0" quotePrefix="0" xfId="0">
      <alignment horizontal="general" vertical="top"/>
    </xf>
    <xf numFmtId="167" fontId="7" fillId="0" borderId="1" applyAlignment="1" pivotButton="0" quotePrefix="0" xfId="0">
      <alignment horizontal="general" vertical="top"/>
    </xf>
    <xf numFmtId="0" fontId="0" fillId="0" borderId="0" applyAlignment="1" pivotButton="0" quotePrefix="0" xfId="0">
      <alignment horizontal="general" vertical="bottom" wrapText="1"/>
    </xf>
    <xf numFmtId="164" fontId="7" fillId="0" borderId="1" applyAlignment="1" pivotButton="0" quotePrefix="0" xfId="0">
      <alignment horizontal="general"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4">
    <dxf>
      <fill>
        <patternFill>
          <bgColor rgb="FFC6E0B4"/>
        </patternFill>
      </fill>
    </dxf>
    <dxf>
      <fill>
        <patternFill>
          <bgColor rgb="FFFFE699"/>
        </patternFill>
      </fill>
    </dxf>
    <dxf>
      <fill>
        <patternFill>
          <bgColor rgb="FFF4B084"/>
        </patternFill>
      </fill>
    </dxf>
    <dxf>
      <fill>
        <patternFill>
          <bgColor rgb="FFBDD7EE"/>
        </patternFill>
      </fill>
    </dxf>
    <dxf>
      <fill>
        <patternFill>
          <bgColor rgb="FFFF9999"/>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BDD7EE"/>
          <bgColor rgb="FF000000"/>
        </patternFill>
      </fill>
    </dxf>
    <dxf>
      <fill>
        <patternFill patternType="solid">
          <fgColor rgb="FFC6E0B4"/>
          <bgColor rgb="FF000000"/>
        </patternFill>
      </fill>
    </dxf>
    <dxf>
      <fill>
        <patternFill patternType="solid">
          <fgColor rgb="FFF4B084"/>
          <bgColor rgb="FF000000"/>
        </patternFill>
      </fill>
    </dxf>
    <dxf>
      <fill>
        <patternFill patternType="solid">
          <fgColor rgb="FFFFE699"/>
          <bgColor rgb="FF000000"/>
        </patternFill>
      </fill>
    </dxf>
    <dxf>
      <fill>
        <patternFill patternType="solid">
          <fgColor rgb="FFF8CBAD"/>
          <bgColor rgb="FF000000"/>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4B084"/>
      <rgbColor rgb="FF0066CC"/>
      <rgbColor rgb="FFBDD7EE"/>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99"/>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4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4" customWidth="1" style="22" min="1" max="1"/>
    <col width="2" customWidth="1" style="22" min="2" max="2"/>
    <col width="34" customWidth="1" style="22" min="3" max="3"/>
    <col width="12" customWidth="1" style="22" min="4" max="4"/>
    <col width="70" customWidth="1" style="22" min="5" max="5"/>
  </cols>
  <sheetData>
    <row r="1" ht="17.35" customHeight="1" s="23">
      <c r="A1" s="24" t="inlineStr">
        <is>
          <t>Granite Ridge Apartment Partners - October 1 Renewal Batch Underwriting Review</t>
        </is>
      </c>
    </row>
    <row r="2" ht="15" customHeight="1" s="23">
      <c r="A2" s="25" t="inlineStr">
        <is>
          <t>Program GRP-HAB-MW Multi-Family | Prepared for the Chief Underwriting Officer | Routing rules: granite_ridge_routing_notes.txt (desk ref GRP-RNW-2025-10)</t>
        </is>
      </c>
    </row>
    <row r="3"/>
    <row r="4" ht="15" customHeight="1" s="23">
      <c r="A4" s="26" t="inlineStr">
        <is>
          <t>Routing parameters (from granite_ridge_routing_notes.txt)</t>
        </is>
      </c>
    </row>
    <row r="5" ht="15" customHeight="1" s="23">
      <c r="A5" s="27" t="inlineStr">
        <is>
          <t>Batch effective date</t>
        </is>
      </c>
      <c r="B5" s="27" t="n"/>
      <c r="C5" s="28" t="n">
        <v>45931</v>
      </c>
      <c r="D5" s="27" t="inlineStr">
        <is>
          <t>Section 5</t>
        </is>
      </c>
      <c r="E5" s="27" t="n"/>
    </row>
    <row r="6" ht="15" customHeight="1" s="23">
      <c r="A6" s="27" t="inlineStr">
        <is>
          <t>Inspection grace window (days before effective date)</t>
        </is>
      </c>
      <c r="B6" s="27" t="n"/>
      <c r="C6" s="27" t="n">
        <v>30</v>
      </c>
      <c r="D6" s="27" t="inlineStr">
        <is>
          <t>Section 5</t>
        </is>
      </c>
      <c r="E6" s="27" t="n"/>
    </row>
    <row r="7" ht="15" customHeight="1" s="23">
      <c r="A7" s="27" t="inlineStr">
        <is>
          <t>Attritional loss basis</t>
        </is>
      </c>
      <c r="B7" s="27" t="n"/>
      <c r="C7" s="27" t="inlineStr">
        <is>
          <t>paid + reserved, cat_code blank only</t>
        </is>
      </c>
      <c r="D7" s="27" t="inlineStr">
        <is>
          <t>Sections 3 and 9</t>
        </is>
      </c>
      <c r="E7" s="27" t="n"/>
    </row>
    <row r="8" ht="15" customHeight="1" s="23">
      <c r="A8" s="27" t="inlineStr">
        <is>
          <t>Loss ratio Decline threshold (&gt;=)</t>
        </is>
      </c>
      <c r="B8" s="27" t="n"/>
      <c r="C8" s="29" t="n">
        <v>0.7</v>
      </c>
      <c r="D8" s="27" t="inlineStr">
        <is>
          <t>Section 3</t>
        </is>
      </c>
      <c r="E8" s="27" t="n"/>
    </row>
    <row r="9" ht="15" customHeight="1" s="23">
      <c r="A9" s="27" t="inlineStr">
        <is>
          <t>Loss ratio Refer threshold (&gt;=)</t>
        </is>
      </c>
      <c r="B9" s="27" t="n"/>
      <c r="C9" s="29" t="n">
        <v>0.45</v>
      </c>
      <c r="D9" s="27" t="inlineStr">
        <is>
          <t>Section 3</t>
        </is>
      </c>
      <c r="E9" s="27" t="n"/>
    </row>
    <row r="10" ht="15" customHeight="1" s="23">
      <c r="A10" s="27" t="inlineStr">
        <is>
          <t>Single-location incurred Refer threshold (&gt;=)</t>
        </is>
      </c>
      <c r="B10" s="27" t="n"/>
      <c r="C10" s="30" t="n">
        <v>250000</v>
      </c>
      <c r="D10" s="27" t="inlineStr">
        <is>
          <t>Section 3</t>
        </is>
      </c>
      <c r="E10" s="27" t="n"/>
    </row>
    <row r="11" ht="15" customHeight="1" s="23">
      <c r="A11" s="27" t="inlineStr">
        <is>
          <t>Unit count variance Refer threshold (&gt;)</t>
        </is>
      </c>
      <c r="B11" s="27" t="n"/>
      <c r="C11" s="29" t="n">
        <v>0.05</v>
      </c>
      <c r="D11" s="27" t="inlineStr">
        <is>
          <t>Section 4</t>
        </is>
      </c>
      <c r="E11" s="27" t="n"/>
    </row>
    <row r="12" ht="15" customHeight="1" s="23">
      <c r="A12" s="27" t="inlineStr">
        <is>
          <t>TIV variance Refer threshold (&gt;)</t>
        </is>
      </c>
      <c r="B12" s="27" t="n"/>
      <c r="C12" s="29" t="n">
        <v>0.03</v>
      </c>
      <c r="D12" s="27" t="inlineStr">
        <is>
          <t>Section 4</t>
        </is>
      </c>
      <c r="E12" s="27" t="n"/>
    </row>
    <row r="13"/>
    <row r="14" ht="15" customHeight="1" s="23">
      <c r="A14" s="26" t="inlineStr">
        <is>
          <t>Disposition counts</t>
        </is>
      </c>
    </row>
    <row r="15" ht="19.5" customHeight="1" s="23">
      <c r="A15" s="31" t="inlineStr">
        <is>
          <t>Disposition</t>
        </is>
      </c>
      <c r="B15" s="31" t="n"/>
      <c r="C15" s="31" t="inlineStr">
        <is>
          <t>Accounts</t>
        </is>
      </c>
      <c r="D15" s="31" t="inlineStr">
        <is>
          <t>% of batch</t>
        </is>
      </c>
      <c r="E15" s="31" t="inlineStr">
        <is>
          <t>Account IDs</t>
        </is>
      </c>
    </row>
    <row r="16" ht="15" customHeight="1" s="23">
      <c r="A16" s="27" t="inlineStr">
        <is>
          <t>Quote</t>
        </is>
      </c>
      <c r="B16" s="27" t="n"/>
      <c r="C16" s="27">
        <f>COUNTIF(Account_Routing!$AB$2:$AB$37,A16)</f>
        <v/>
      </c>
      <c r="D16" s="32">
        <f>C16/$C$20</f>
        <v/>
      </c>
      <c r="E16" s="33" t="inlineStr">
        <is>
          <t>See Account_Routing (25 accounts)</t>
        </is>
      </c>
    </row>
    <row r="17" ht="15" customHeight="1" s="23">
      <c r="A17" s="27" t="inlineStr">
        <is>
          <t>Refer</t>
        </is>
      </c>
      <c r="B17" s="27" t="n"/>
      <c r="C17" s="27">
        <f>COUNTIF(Account_Routing!$AB$2:$AB$37,A17)</f>
        <v/>
      </c>
      <c r="D17" s="32">
        <f>C17/$C$20</f>
        <v/>
      </c>
      <c r="E17" s="33" t="inlineStr">
        <is>
          <t>GR-2007, GR-2053, GR-2065, GR-2068, GR-2074, GR-2089, GR-2092, GR-2113, GR-2162</t>
        </is>
      </c>
    </row>
    <row r="18" ht="15" customHeight="1" s="23">
      <c r="A18" s="27" t="inlineStr">
        <is>
          <t>Decline</t>
        </is>
      </c>
      <c r="B18" s="27" t="n"/>
      <c r="C18" s="27">
        <f>COUNTIF(Account_Routing!$AB$2:$AB$37,A18)</f>
        <v/>
      </c>
      <c r="D18" s="32">
        <f>C18/$C$20</f>
        <v/>
      </c>
      <c r="E18" s="33" t="inlineStr">
        <is>
          <t>GR-2195</t>
        </is>
      </c>
    </row>
    <row r="19" ht="15" customHeight="1" s="23">
      <c r="A19" s="27" t="inlineStr">
        <is>
          <t>Ask Broker</t>
        </is>
      </c>
      <c r="B19" s="27" t="n"/>
      <c r="C19" s="27">
        <f>COUNTIF(Account_Routing!$AB$2:$AB$37,A19)</f>
        <v/>
      </c>
      <c r="D19" s="32">
        <f>C19/$C$20</f>
        <v/>
      </c>
      <c r="E19" s="33" t="inlineStr">
        <is>
          <t>GR-2033</t>
        </is>
      </c>
    </row>
    <row r="20" ht="15" customHeight="1" s="23">
      <c r="A20" s="34" t="inlineStr">
        <is>
          <t>Total accounts reviewed</t>
        </is>
      </c>
      <c r="B20" s="34" t="n"/>
      <c r="C20" s="34">
        <f>COUNTA(Account_Routing!$A$2:$A$37)</f>
        <v/>
      </c>
      <c r="D20" s="34" t="n"/>
      <c r="E20" s="34" t="n"/>
    </row>
    <row r="21" ht="15" customHeight="1" s="23">
      <c r="A21" s="27" t="inlineStr">
        <is>
          <t>Check: dispositions sum to total</t>
        </is>
      </c>
      <c r="B21" s="27" t="n"/>
      <c r="C21" s="27">
        <f>IF(SUM(C16:C19)=C20,"OK","ERROR")</f>
        <v/>
      </c>
      <c r="D21" s="27" t="n"/>
      <c r="E21" s="27" t="n"/>
    </row>
    <row r="22" ht="15" customHeight="1" s="23">
      <c r="A22" s="27" t="inlineStr">
        <is>
          <t>Check: total equals 36 accounts in export</t>
        </is>
      </c>
      <c r="B22" s="27" t="n"/>
      <c r="C22" s="27">
        <f>IF(C20=36,"OK","ERROR")</f>
        <v/>
      </c>
      <c r="D22" s="27" t="n"/>
      <c r="E22" s="27" t="n"/>
    </row>
    <row r="23"/>
    <row r="24" ht="15" customHeight="1" s="23">
      <c r="A24" s="26" t="inlineStr">
        <is>
          <t>Exception counts (reconcile to Location_Exceptions / Account_Routing)</t>
        </is>
      </c>
    </row>
    <row r="25" ht="15" customHeight="1" s="23">
      <c r="A25" s="27" t="inlineStr">
        <is>
          <t>Accounts with any location-level exception (subsidized, inspection, pool, vacancy)</t>
        </is>
      </c>
      <c r="B25" s="27" t="n"/>
      <c r="C25" s="27">
        <f>SUMPRODUCT(--((Account_Routing!$N$2:$N$37+Account_Routing!$P$2:$P$37+Account_Routing!$Q$2:$Q$37+Account_Routing!$R$2:$R$37)&gt;0))</f>
        <v/>
      </c>
      <c r="D25" s="27" t="n"/>
      <c r="E25" s="27" t="n"/>
    </row>
    <row r="26" ht="15" customHeight="1" s="23">
      <c r="A26" s="27" t="inlineStr">
        <is>
          <t>Subsidized-housing locations (subsidized_unit_count &gt; 0)</t>
        </is>
      </c>
      <c r="B26" s="27" t="n"/>
      <c r="C26" s="27">
        <f>COUNTIF(Src_Locations!$G$2:$G$76,"&gt;0")</f>
        <v/>
      </c>
      <c r="D26" s="27" t="n"/>
      <c r="E26" s="27" t="n"/>
    </row>
    <row r="27" ht="15" customHeight="1" s="23">
      <c r="A27" s="27" t="inlineStr">
        <is>
          <t>Accounts with subsidized locations</t>
        </is>
      </c>
      <c r="B27" s="27" t="n"/>
      <c r="C27" s="27">
        <f>COUNTIF(Account_Routing!$N$2:$N$37,"&gt;0")</f>
        <v/>
      </c>
      <c r="D27" s="27" t="n"/>
      <c r="E27" s="27" t="n"/>
    </row>
    <row r="28" ht="15" customHeight="1" s="23">
      <c r="A28" s="27" t="inlineStr">
        <is>
          <t>Locations with life-safety inspection lapse (&gt;30 days before 10/1/2025)</t>
        </is>
      </c>
      <c r="B28" s="27" t="n"/>
      <c r="C28" s="27">
        <f>SUM(Src_Locations!$P$2:$P$76)</f>
        <v/>
      </c>
      <c r="D28" s="27" t="n"/>
      <c r="E28" s="27" t="n"/>
    </row>
    <row r="29" ht="15" customHeight="1" s="23">
      <c r="A29" s="27" t="inlineStr">
        <is>
          <t>Locations with pool_liability_flag = pending_fence_po</t>
        </is>
      </c>
      <c r="B29" s="27" t="n"/>
      <c r="C29" s="27">
        <f>COUNTIF(Src_Locations!$L$2:$L$76,"pending_fence_po")</f>
        <v/>
      </c>
      <c r="D29" s="27" t="n"/>
      <c r="E29" s="27" t="n"/>
    </row>
    <row r="30" ht="15" customHeight="1" s="23">
      <c r="A30" s="27" t="inlineStr">
        <is>
          <t>Locations with vacancy_flag = Y</t>
        </is>
      </c>
      <c r="B30" s="27" t="n"/>
      <c r="C30" s="27">
        <f>COUNTIF(Src_Locations!$I$2:$I$76,"Y")</f>
        <v/>
      </c>
      <c r="D30" s="27" t="n"/>
      <c r="E30" s="27" t="n"/>
    </row>
    <row r="31" ht="15" customHeight="1" s="23">
      <c r="A31" s="27" t="inlineStr">
        <is>
          <t xml:space="preserve">  of which broker_confirmation = no (Ask Broker)</t>
        </is>
      </c>
      <c r="B31" s="27" t="n"/>
      <c r="C31" s="27">
        <f>SUM(Src_Locations!$R$2:$R$76)</f>
        <v/>
      </c>
      <c r="D31" s="27" t="n"/>
      <c r="E31" s="27" t="n"/>
    </row>
    <row r="32" ht="15" customHeight="1" s="23">
      <c r="A32" s="27" t="inlineStr">
        <is>
          <t>Accounts failing unit count reconciliation (&gt;5%)</t>
        </is>
      </c>
      <c r="B32" s="27" t="n"/>
      <c r="C32" s="27">
        <f>COUNTIF(Account_Routing!$I$2:$I$37,"&gt;"&amp;$C$11)</f>
        <v/>
      </c>
      <c r="D32" s="27" t="n"/>
      <c r="E32" s="27" t="n"/>
    </row>
    <row r="33" ht="15" customHeight="1" s="23">
      <c r="A33" s="27" t="inlineStr">
        <is>
          <t>Accounts failing TIV reconciliation (&gt;3%)</t>
        </is>
      </c>
      <c r="B33" s="27" t="n"/>
      <c r="C33" s="27">
        <f>COUNTIF(Account_Routing!$L$2:$L$37,"&gt;"&amp;$C$12)</f>
        <v/>
      </c>
      <c r="D33" s="27" t="n"/>
      <c r="E33" s="27" t="n"/>
    </row>
    <row r="34" ht="15" customHeight="1" s="23">
      <c r="A34" s="27" t="inlineStr">
        <is>
          <t>Accounts where list loss ratio differs from recomputed by more than 5 points</t>
        </is>
      </c>
      <c r="B34" s="27" t="n"/>
      <c r="C34" s="27">
        <f>COUNTIF(Loss_Reconciliation!$K$2:$K$37,"Yes")</f>
        <v/>
      </c>
      <c r="D34" s="27" t="n"/>
      <c r="E34" s="27" t="n"/>
    </row>
    <row r="35" ht="15" customHeight="1" s="23">
      <c r="A35" s="27" t="inlineStr">
        <is>
          <t>Accounts with recomputed LR &gt;= 45% (Refer or Decline band)</t>
        </is>
      </c>
      <c r="B35" s="27" t="n"/>
      <c r="C35" s="27">
        <f>COUNTIF(Account_Routing!$V$2:$V$37,"&gt;="&amp;$C$9)</f>
        <v/>
      </c>
      <c r="D35" s="27" t="n"/>
      <c r="E35" s="27" t="n"/>
    </row>
    <row r="36" ht="15" customHeight="1" s="23">
      <c r="A36" s="27" t="inlineStr">
        <is>
          <t>Accounts with a single location incurred &gt;= $250,000</t>
        </is>
      </c>
      <c r="B36" s="27" t="n"/>
      <c r="C36" s="27">
        <f>COUNTIF(Account_Routing!$W$2:$W$37,"&gt;="&amp;$C$10)</f>
        <v/>
      </c>
      <c r="D36" s="27" t="n"/>
      <c r="E36" s="27" t="n"/>
    </row>
    <row r="37" ht="15" customHeight="1" s="23">
      <c r="A37" s="27" t="inlineStr">
        <is>
          <t>Campus Edge (Section 10) accounts</t>
        </is>
      </c>
      <c r="B37" s="27" t="n"/>
      <c r="C37" s="27">
        <f>SUM(Account_Routing!$X$2:$X$37)</f>
        <v/>
      </c>
      <c r="D37" s="27" t="n"/>
      <c r="E37" s="27" t="n"/>
    </row>
    <row r="38" ht="15" customHeight="1" s="23">
      <c r="A38" s="27" t="inlineStr">
        <is>
          <t>Accounts marked renewal_ready_flag = Y on the list but not routed Quote (Section 8)</t>
        </is>
      </c>
      <c r="B38" s="27" t="n"/>
      <c r="C38" s="27">
        <f>COUNTIFS(Account_Routing!$F$2:$F$37,"Y",Account_Routing!$AB$2:$AB$37,"&lt;&gt;Quote")</f>
        <v/>
      </c>
      <c r="D38" s="27" t="n"/>
      <c r="E38" s="27" t="n"/>
    </row>
    <row r="39"/>
    <row r="40" ht="15" customHeight="1" s="23">
      <c r="A40" s="26" t="inlineStr">
        <is>
          <t>Headline for the CUO</t>
        </is>
      </c>
    </row>
    <row r="41" ht="15" customHeight="1" s="23">
      <c r="A41" s="35" t="inlineStr">
        <is>
          <t>The October batch has 36 accounts, all routed. Twenty-five are cleared to quote; nine require underwriter review (Refer); GR-2195 (Humboldt Yard) hits a 292.3% recomputed loss ratio and is declined; GR-2033 (Lincolnwood Place) needs broker vacancy confirmation before we can proceed. The account list flagged every account renewal-ready, but that is informational per Section 8. Judgment calls on Campus Edge (Section 10), GR-2047 vacancy, and GR-2071 cat exclusion are documented on Decision_Notes.</t>
        </is>
      </c>
    </row>
    <row r="42" ht="15" customHeight="1" s="23"/>
    <row r="43" ht="15" customHeight="1" s="23"/>
    <row r="44" ht="15" customHeight="1" s="23"/>
  </sheetData>
  <mergeCells count="1">
    <mergeCell ref="A41:E44"/>
  </mergeCells>
  <conditionalFormatting sqref="A16:A19">
    <cfRule type="cellIs" rank="0" priority="2" equalAverage="0" operator="equal" aboveAverage="0" dxfId="0" text="" percent="0" bottom="0">
      <formula>"Quote"</formula>
    </cfRule>
    <cfRule type="cellIs" rank="0" priority="3" equalAverage="0" operator="equal" aboveAverage="0" dxfId="1" text="" percent="0" bottom="0">
      <formula>"Refer"</formula>
    </cfRule>
    <cfRule type="cellIs" rank="0" priority="4" equalAverage="0" operator="equal" aboveAverage="0" dxfId="2" text="" percent="0" bottom="0">
      <formula>"Decline"</formula>
    </cfRule>
    <cfRule type="cellIs" rank="0" priority="5" equalAverage="0" operator="equal" aboveAverage="0" dxfId="3" text="" percent="0" bottom="0">
      <formula>"Ask Broker"</formula>
    </cfRule>
  </conditionalFormatting>
  <conditionalFormatting sqref="C21:C22">
    <cfRule type="cellIs" rank="0" priority="6" equalAverage="0" operator="equal" aboveAverage="0" dxfId="4" text="" percent="0" bottom="0">
      <formula>"ERROR"</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D37"/>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0" customWidth="1" style="22" min="1" max="1"/>
    <col width="26" customWidth="1" style="22" min="2" max="2"/>
    <col width="6" customWidth="1" style="22" min="3" max="3"/>
    <col width="13" customWidth="1" style="22" min="4" max="4"/>
    <col width="12" customWidth="1" style="22" min="5" max="5"/>
    <col width="11" customWidth="1" style="22" min="6" max="6"/>
    <col width="9" customWidth="1" style="22" min="7" max="9"/>
    <col width="14" customWidth="1" style="22" min="10" max="11"/>
    <col width="9" customWidth="1" style="22" min="12" max="13"/>
    <col width="11" customWidth="1" style="22" min="14" max="14"/>
    <col width="10" customWidth="1" style="22" min="15" max="15"/>
    <col width="11" customWidth="1" style="22" min="16" max="17"/>
    <col width="9" customWidth="1" style="22" min="18" max="18"/>
    <col width="10" customWidth="1" style="22" min="19" max="21"/>
    <col width="11" customWidth="1" style="22" min="22" max="22"/>
    <col width="13" customWidth="1" style="22" min="23" max="23"/>
    <col width="10" customWidth="1" style="22" min="24" max="24"/>
    <col width="9" customWidth="1" style="22" min="25" max="27"/>
    <col width="13" customWidth="1" style="22" min="28" max="28"/>
    <col width="12" customWidth="1" style="22" min="29" max="29"/>
    <col width="90" customWidth="1" style="22" min="30" max="30"/>
  </cols>
  <sheetData>
    <row r="1" ht="43.5" customHeight="1" s="23">
      <c r="A1" s="31" t="inlineStr">
        <is>
          <t>account_id</t>
        </is>
      </c>
      <c r="B1" s="31" t="inlineStr">
        <is>
          <t>named_insured</t>
        </is>
      </c>
      <c r="C1" s="31" t="inlineStr">
        <is>
          <t>state</t>
        </is>
      </c>
      <c r="D1" s="31" t="inlineStr">
        <is>
          <t>expiring_premium</t>
        </is>
      </c>
      <c r="E1" s="31" t="inlineStr">
        <is>
          <t>prior_disposition (list)</t>
        </is>
      </c>
      <c r="F1" s="31" t="inlineStr">
        <is>
          <t>renewal_ready_flag (list)</t>
        </is>
      </c>
      <c r="G1" s="31" t="inlineStr">
        <is>
          <t>list_unit_count</t>
        </is>
      </c>
      <c r="H1" s="31" t="inlineStr">
        <is>
          <t>schedule_unit_sum</t>
        </is>
      </c>
      <c r="I1" s="31" t="inlineStr">
        <is>
          <t>unit_variance_%</t>
        </is>
      </c>
      <c r="J1" s="31" t="inlineStr">
        <is>
          <t>list_account_tiv</t>
        </is>
      </c>
      <c r="K1" s="31" t="inlineStr">
        <is>
          <t>schedule_tiv_sum</t>
        </is>
      </c>
      <c r="L1" s="31" t="inlineStr">
        <is>
          <t>tiv_variance_%</t>
        </is>
      </c>
      <c r="M1" s="31" t="inlineStr">
        <is>
          <t>location_count</t>
        </is>
      </c>
      <c r="N1" s="31" t="inlineStr">
        <is>
          <t>subsidized_locations (units&gt;0)</t>
        </is>
      </c>
      <c r="O1" s="31" t="inlineStr">
        <is>
          <t>list_subsidized_flag</t>
        </is>
      </c>
      <c r="P1" s="31" t="inlineStr">
        <is>
          <t>life_safety_lapse_locations</t>
        </is>
      </c>
      <c r="Q1" s="31" t="inlineStr">
        <is>
          <t>pool_pending_fence_po_locations</t>
        </is>
      </c>
      <c r="R1" s="31" t="inlineStr">
        <is>
          <t>vacancy_Y_locations</t>
        </is>
      </c>
      <c r="S1" s="31" t="inlineStr">
        <is>
          <t>vacancy_Y_broker_not_yes</t>
        </is>
      </c>
      <c r="T1" s="31" t="inlineStr">
        <is>
          <t>occupancy_pct (list)</t>
        </is>
      </c>
      <c r="U1" s="31" t="inlineStr">
        <is>
          <t>list_loss_ratio</t>
        </is>
      </c>
      <c r="V1" s="31" t="inlineStr">
        <is>
          <t>recomputed_attritional_LR</t>
        </is>
      </c>
      <c r="W1" s="31" t="inlineStr">
        <is>
          <t>max_single_location_incurred</t>
        </is>
      </c>
      <c r="X1" s="31" t="inlineStr">
        <is>
          <t>student_housing_flag (Sec 10)</t>
        </is>
      </c>
      <c r="Y1" s="31" t="inlineStr">
        <is>
          <t>Decline trigger</t>
        </is>
      </c>
      <c r="Z1" s="31" t="inlineStr">
        <is>
          <t>Ask Broker trigger</t>
        </is>
      </c>
      <c r="AA1" s="31" t="inlineStr">
        <is>
          <t>Refer trigger count</t>
        </is>
      </c>
      <c r="AB1" s="31" t="inlineStr">
        <is>
          <t>DISPOSITION</t>
        </is>
      </c>
      <c r="AC1" s="31" t="inlineStr">
        <is>
          <t>rule_section(s) applied</t>
        </is>
      </c>
      <c r="AD1" s="31" t="inlineStr">
        <is>
          <t>rationale (rule section + source file)</t>
        </is>
      </c>
    </row>
    <row r="2" ht="23.85" customHeight="1" s="23">
      <c r="A2" s="36" t="inlineStr">
        <is>
          <t>GR-2001</t>
        </is>
      </c>
      <c r="B2" s="36" t="inlineStr">
        <is>
          <t>Ashland Court Apts LP</t>
        </is>
      </c>
      <c r="C2" s="36" t="inlineStr">
        <is>
          <t>IL</t>
        </is>
      </c>
      <c r="D2" s="37" t="n">
        <v>55299.51</v>
      </c>
      <c r="E2" s="36" t="inlineStr">
        <is>
          <t>Quoted</t>
        </is>
      </c>
      <c r="F2" s="36" t="inlineStr">
        <is>
          <t>Y</t>
        </is>
      </c>
      <c r="G2" s="36" t="n">
        <v>183</v>
      </c>
      <c r="H2" s="36">
        <f>SUMIFS(Src_Locations!$F$2:$F$76,Src_Locations!$B$2:$B$76,A2)</f>
        <v/>
      </c>
      <c r="I2" s="38">
        <f>ABS(G2-H2)/G2</f>
        <v/>
      </c>
      <c r="J2" s="39" t="n">
        <v>11870554</v>
      </c>
      <c r="K2" s="39">
        <f>SUMIFS(Src_Locations!$E$2:$E$76,Src_Locations!$B$2:$B$76,A2)</f>
        <v/>
      </c>
      <c r="L2" s="38">
        <f>ABS(J2-K2)/J2</f>
        <v/>
      </c>
      <c r="M2" s="36">
        <f>COUNTIF(Src_Locations!$B$2:$B$76,A2)</f>
        <v/>
      </c>
      <c r="N2" s="36">
        <f>COUNTIFS(Src_Locations!$B$2:$B$76,A2,Src_Locations!$G$2:$G$76,"&gt;0")</f>
        <v/>
      </c>
      <c r="O2" s="36" t="inlineStr">
        <is>
          <t>N</t>
        </is>
      </c>
      <c r="P2" s="36">
        <f>SUMIFS(Src_Locations!$P$2:$P$76,Src_Locations!$B$2:$B$76,A2)</f>
        <v/>
      </c>
      <c r="Q2" s="36">
        <f>COUNTIFS(Src_Locations!$B$2:$B$76,A2,Src_Locations!$L$2:$L$76,"pending_fence_po")</f>
        <v/>
      </c>
      <c r="R2" s="36">
        <f>COUNTIFS(Src_Locations!$B$2:$B$76,A2,Src_Locations!$I$2:$I$76,"Y")</f>
        <v/>
      </c>
      <c r="S2" s="36">
        <f>SUMIFS(Src_Locations!$R$2:$R$76,Src_Locations!$B$2:$B$76,A2)</f>
        <v/>
      </c>
      <c r="T2" s="40" t="n">
        <v>0.953</v>
      </c>
      <c r="U2" s="40" t="n">
        <v>0.259</v>
      </c>
      <c r="V2" s="40">
        <f>SUMIFS(Src_LossRun!$J$2:$J$43,Src_LossRun!$C$2:$C$43,A2)/D2</f>
        <v/>
      </c>
      <c r="W2" s="39">
        <f>_xlfn.MAXIFS(Src_Locations!$Q$2:$Q$76,Src_Locations!$B$2:$B$76,A2)</f>
        <v/>
      </c>
      <c r="X2" s="36">
        <f>IF(B2="Campus Edge Housing Co.",1,0)</f>
        <v/>
      </c>
      <c r="Y2" s="36">
        <f>IF(V2&gt;=Executive_Summary!$C$8,1,0)</f>
        <v/>
      </c>
      <c r="Z2" s="36">
        <f>IF(S2&gt;0,1,0)</f>
        <v/>
      </c>
      <c r="AA2" s="36">
        <f>(V2&gt;=Executive_Summary!$C$9)+(W2&gt;=Executive_Summary!$C$10)+(I2&gt;Executive_Summary!$C$11)+(L2&gt;Executive_Summary!$C$12)+(P2&gt;0)+(Q2&gt;0)+(N2&gt;0)+(X2=1)</f>
        <v/>
      </c>
      <c r="AB2" s="41">
        <f>IF(Y2=1,"Decline",IF(Z2=1,"Ask Broker",IF(AA2&gt;0,"Refer","Quote")))</f>
        <v/>
      </c>
      <c r="AC2" s="33" t="inlineStr">
        <is>
          <t>Sec 3-6</t>
        </is>
      </c>
      <c r="AD2" s="33" t="inlineStr">
        <is>
          <t>Attritional LR 11.3%. Units/TIV within tolerance; inspections within grace window; no subsidized-housing, vacancy, or pool triggers. Quote per granite_ridge_routing_notes.txt.</t>
        </is>
      </c>
    </row>
    <row r="3" ht="23.85" customHeight="1" s="23">
      <c r="A3" s="36" t="inlineStr">
        <is>
          <t>GR-2004</t>
        </is>
      </c>
      <c r="B3" s="36" t="inlineStr">
        <is>
          <t>Berwyn Arms LLC</t>
        </is>
      </c>
      <c r="C3" s="36" t="inlineStr">
        <is>
          <t>MN</t>
        </is>
      </c>
      <c r="D3" s="37" t="n">
        <v>75553.66</v>
      </c>
      <c r="E3" s="36" t="inlineStr">
        <is>
          <t>Quoted</t>
        </is>
      </c>
      <c r="F3" s="36" t="inlineStr">
        <is>
          <t>Y</t>
        </is>
      </c>
      <c r="G3" s="36" t="n">
        <v>67</v>
      </c>
      <c r="H3" s="36">
        <f>SUMIFS(Src_Locations!$F$2:$F$76,Src_Locations!$B$2:$B$76,A3)</f>
        <v/>
      </c>
      <c r="I3" s="38">
        <f>ABS(G3-H3)/G3</f>
        <v/>
      </c>
      <c r="J3" s="39" t="n">
        <v>10119822</v>
      </c>
      <c r="K3" s="39">
        <f>SUMIFS(Src_Locations!$E$2:$E$76,Src_Locations!$B$2:$B$76,A3)</f>
        <v/>
      </c>
      <c r="L3" s="38">
        <f>ABS(J3-K3)/J3</f>
        <v/>
      </c>
      <c r="M3" s="36">
        <f>COUNTIF(Src_Locations!$B$2:$B$76,A3)</f>
        <v/>
      </c>
      <c r="N3" s="36">
        <f>COUNTIFS(Src_Locations!$B$2:$B$76,A3,Src_Locations!$G$2:$G$76,"&gt;0")</f>
        <v/>
      </c>
      <c r="O3" s="36" t="inlineStr">
        <is>
          <t>N</t>
        </is>
      </c>
      <c r="P3" s="36">
        <f>SUMIFS(Src_Locations!$P$2:$P$76,Src_Locations!$B$2:$B$76,A3)</f>
        <v/>
      </c>
      <c r="Q3" s="36">
        <f>COUNTIFS(Src_Locations!$B$2:$B$76,A3,Src_Locations!$L$2:$L$76,"pending_fence_po")</f>
        <v/>
      </c>
      <c r="R3" s="36">
        <f>COUNTIFS(Src_Locations!$B$2:$B$76,A3,Src_Locations!$I$2:$I$76,"Y")</f>
        <v/>
      </c>
      <c r="S3" s="36">
        <f>SUMIFS(Src_Locations!$R$2:$R$76,Src_Locations!$B$2:$B$76,A3)</f>
        <v/>
      </c>
      <c r="T3" s="40" t="n">
        <v>0.961</v>
      </c>
      <c r="U3" s="40" t="n">
        <v>0.128</v>
      </c>
      <c r="V3" s="40">
        <f>SUMIFS(Src_LossRun!$J$2:$J$43,Src_LossRun!$C$2:$C$43,A3)/D3</f>
        <v/>
      </c>
      <c r="W3" s="39">
        <f>_xlfn.MAXIFS(Src_Locations!$Q$2:$Q$76,Src_Locations!$B$2:$B$76,A3)</f>
        <v/>
      </c>
      <c r="X3" s="36">
        <f>IF(B3="Campus Edge Housing Co.",1,0)</f>
        <v/>
      </c>
      <c r="Y3" s="36">
        <f>IF(V3&gt;=Executive_Summary!$C$8,1,0)</f>
        <v/>
      </c>
      <c r="Z3" s="36">
        <f>IF(S3&gt;0,1,0)</f>
        <v/>
      </c>
      <c r="AA3" s="36">
        <f>(V3&gt;=Executive_Summary!$C$9)+(W3&gt;=Executive_Summary!$C$10)+(I3&gt;Executive_Summary!$C$11)+(L3&gt;Executive_Summary!$C$12)+(P3&gt;0)+(Q3&gt;0)+(N3&gt;0)+(X3=1)</f>
        <v/>
      </c>
      <c r="AB3" s="41">
        <f>IF(Y3=1,"Decline",IF(Z3=1,"Ask Broker",IF(AA3&gt;0,"Refer","Quote")))</f>
        <v/>
      </c>
      <c r="AC3" s="33" t="inlineStr">
        <is>
          <t>Sec 3-6</t>
        </is>
      </c>
      <c r="AD3" s="33" t="inlineStr">
        <is>
          <t>Attritional LR 26.4%. Units/TIV within tolerance; inspections within grace window; no subsidized-housing, vacancy, or pool triggers. Quote per granite_ridge_routing_notes.txt.</t>
        </is>
      </c>
    </row>
    <row r="4" ht="23.85" customHeight="1" s="23">
      <c r="A4" s="36" t="inlineStr">
        <is>
          <t>GR-2007</t>
        </is>
      </c>
      <c r="B4" s="36" t="inlineStr">
        <is>
          <t>Campus Edge Housing Co.</t>
        </is>
      </c>
      <c r="C4" s="36" t="inlineStr">
        <is>
          <t>IN</t>
        </is>
      </c>
      <c r="D4" s="37" t="n">
        <v>67915.72</v>
      </c>
      <c r="E4" s="36" t="inlineStr">
        <is>
          <t>Quoted</t>
        </is>
      </c>
      <c r="F4" s="36" t="inlineStr">
        <is>
          <t>Y</t>
        </is>
      </c>
      <c r="G4" s="36" t="n">
        <v>97</v>
      </c>
      <c r="H4" s="36">
        <f>SUMIFS(Src_Locations!$F$2:$F$76,Src_Locations!$B$2:$B$76,A4)</f>
        <v/>
      </c>
      <c r="I4" s="38">
        <f>ABS(G4-H4)/G4</f>
        <v/>
      </c>
      <c r="J4" s="39" t="n">
        <v>10381367</v>
      </c>
      <c r="K4" s="39">
        <f>SUMIFS(Src_Locations!$E$2:$E$76,Src_Locations!$B$2:$B$76,A4)</f>
        <v/>
      </c>
      <c r="L4" s="38">
        <f>ABS(J4-K4)/J4</f>
        <v/>
      </c>
      <c r="M4" s="36">
        <f>COUNTIF(Src_Locations!$B$2:$B$76,A4)</f>
        <v/>
      </c>
      <c r="N4" s="36">
        <f>COUNTIFS(Src_Locations!$B$2:$B$76,A4,Src_Locations!$G$2:$G$76,"&gt;0")</f>
        <v/>
      </c>
      <c r="O4" s="36" t="inlineStr">
        <is>
          <t>N</t>
        </is>
      </c>
      <c r="P4" s="36">
        <f>SUMIFS(Src_Locations!$P$2:$P$76,Src_Locations!$B$2:$B$76,A4)</f>
        <v/>
      </c>
      <c r="Q4" s="36">
        <f>COUNTIFS(Src_Locations!$B$2:$B$76,A4,Src_Locations!$L$2:$L$76,"pending_fence_po")</f>
        <v/>
      </c>
      <c r="R4" s="36">
        <f>COUNTIFS(Src_Locations!$B$2:$B$76,A4,Src_Locations!$I$2:$I$76,"Y")</f>
        <v/>
      </c>
      <c r="S4" s="36">
        <f>SUMIFS(Src_Locations!$R$2:$R$76,Src_Locations!$B$2:$B$76,A4)</f>
        <v/>
      </c>
      <c r="T4" s="40" t="n">
        <v>0.952</v>
      </c>
      <c r="U4" s="40" t="n">
        <v>0.179</v>
      </c>
      <c r="V4" s="40">
        <f>SUMIFS(Src_LossRun!$J$2:$J$43,Src_LossRun!$C$2:$C$43,A4)/D4</f>
        <v/>
      </c>
      <c r="W4" s="39">
        <f>_xlfn.MAXIFS(Src_Locations!$Q$2:$Q$76,Src_Locations!$B$2:$B$76,A4)</f>
        <v/>
      </c>
      <c r="X4" s="36">
        <f>IF(B4="Campus Edge Housing Co.",1,0)</f>
        <v/>
      </c>
      <c r="Y4" s="36">
        <f>IF(V4&gt;=Executive_Summary!$C$8,1,0)</f>
        <v/>
      </c>
      <c r="Z4" s="36">
        <f>IF(S4&gt;0,1,0)</f>
        <v/>
      </c>
      <c r="AA4" s="36">
        <f>(V4&gt;=Executive_Summary!$C$9)+(W4&gt;=Executive_Summary!$C$10)+(I4&gt;Executive_Summary!$C$11)+(L4&gt;Executive_Summary!$C$12)+(P4&gt;0)+(Q4&gt;0)+(N4&gt;0)+(X4=1)</f>
        <v/>
      </c>
      <c r="AB4" s="41">
        <f>IF(Y4=1,"Decline",IF(Z4=1,"Ask Broker",IF(AA4&gt;0,"Refer","Quote")))</f>
        <v/>
      </c>
      <c r="AC4" s="33" t="inlineStr">
        <is>
          <t>Sec 10</t>
        </is>
      </c>
      <c r="AD4" s="33" t="inlineStr">
        <is>
          <t>Section 10 per granite_ridge_routing_notes.txt: Campus Edge student-housing insured; GRP-APPETITE review must be submitted before bind, no CUO clearance memo in file package (judgment: treated as mandatory pre-bind review = Refer per Section 2). Source: granite_ridge_renewal_accounts.csv, granite_ridge_routing_notes.txt.</t>
        </is>
      </c>
    </row>
    <row r="5" ht="23.85" customHeight="1" s="23">
      <c r="A5" s="36" t="inlineStr">
        <is>
          <t>GR-2010</t>
        </is>
      </c>
      <c r="B5" s="36" t="inlineStr">
        <is>
          <t>Damen Square Residences</t>
        </is>
      </c>
      <c r="C5" s="36" t="inlineStr">
        <is>
          <t>IA</t>
        </is>
      </c>
      <c r="D5" s="37" t="n">
        <v>87072.61</v>
      </c>
      <c r="E5" s="36" t="inlineStr">
        <is>
          <t>Quoted</t>
        </is>
      </c>
      <c r="F5" s="36" t="inlineStr">
        <is>
          <t>Y</t>
        </is>
      </c>
      <c r="G5" s="36" t="n">
        <v>128</v>
      </c>
      <c r="H5" s="36">
        <f>SUMIFS(Src_Locations!$F$2:$F$76,Src_Locations!$B$2:$B$76,A5)</f>
        <v/>
      </c>
      <c r="I5" s="38">
        <f>ABS(G5-H5)/G5</f>
        <v/>
      </c>
      <c r="J5" s="39" t="n">
        <v>15930329</v>
      </c>
      <c r="K5" s="39">
        <f>SUMIFS(Src_Locations!$E$2:$E$76,Src_Locations!$B$2:$B$76,A5)</f>
        <v/>
      </c>
      <c r="L5" s="38">
        <f>ABS(J5-K5)/J5</f>
        <v/>
      </c>
      <c r="M5" s="36">
        <f>COUNTIF(Src_Locations!$B$2:$B$76,A5)</f>
        <v/>
      </c>
      <c r="N5" s="36">
        <f>COUNTIFS(Src_Locations!$B$2:$B$76,A5,Src_Locations!$G$2:$G$76,"&gt;0")</f>
        <v/>
      </c>
      <c r="O5" s="36" t="inlineStr">
        <is>
          <t>N</t>
        </is>
      </c>
      <c r="P5" s="36">
        <f>SUMIFS(Src_Locations!$P$2:$P$76,Src_Locations!$B$2:$B$76,A5)</f>
        <v/>
      </c>
      <c r="Q5" s="36">
        <f>COUNTIFS(Src_Locations!$B$2:$B$76,A5,Src_Locations!$L$2:$L$76,"pending_fence_po")</f>
        <v/>
      </c>
      <c r="R5" s="36">
        <f>COUNTIFS(Src_Locations!$B$2:$B$76,A5,Src_Locations!$I$2:$I$76,"Y")</f>
        <v/>
      </c>
      <c r="S5" s="36">
        <f>SUMIFS(Src_Locations!$R$2:$R$76,Src_Locations!$B$2:$B$76,A5)</f>
        <v/>
      </c>
      <c r="T5" s="40" t="n">
        <v>0.912</v>
      </c>
      <c r="U5" s="40" t="n">
        <v>0.171</v>
      </c>
      <c r="V5" s="40">
        <f>SUMIFS(Src_LossRun!$J$2:$J$43,Src_LossRun!$C$2:$C$43,A5)/D5</f>
        <v/>
      </c>
      <c r="W5" s="39">
        <f>_xlfn.MAXIFS(Src_Locations!$Q$2:$Q$76,Src_Locations!$B$2:$B$76,A5)</f>
        <v/>
      </c>
      <c r="X5" s="36">
        <f>IF(B5="Campus Edge Housing Co.",1,0)</f>
        <v/>
      </c>
      <c r="Y5" s="36">
        <f>IF(V5&gt;=Executive_Summary!$C$8,1,0)</f>
        <v/>
      </c>
      <c r="Z5" s="36">
        <f>IF(S5&gt;0,1,0)</f>
        <v/>
      </c>
      <c r="AA5" s="36">
        <f>(V5&gt;=Executive_Summary!$C$9)+(W5&gt;=Executive_Summary!$C$10)+(I5&gt;Executive_Summary!$C$11)+(L5&gt;Executive_Summary!$C$12)+(P5&gt;0)+(Q5&gt;0)+(N5&gt;0)+(X5=1)</f>
        <v/>
      </c>
      <c r="AB5" s="41">
        <f>IF(Y5=1,"Decline",IF(Z5=1,"Ask Broker",IF(AA5&gt;0,"Refer","Quote")))</f>
        <v/>
      </c>
      <c r="AC5" s="33" t="inlineStr">
        <is>
          <t>Sec 3-6</t>
        </is>
      </c>
      <c r="AD5" s="33" t="inlineStr">
        <is>
          <t>Recomputed LR 6.1%, well under Section 3 thresholds. Location schedule reconciles within tolerance. Inspections current. Quote per granite_ridge_routing_notes.txt.</t>
        </is>
      </c>
    </row>
    <row r="6" ht="23.85" customHeight="1" s="23">
      <c r="A6" s="36" t="inlineStr">
        <is>
          <t>GR-2013</t>
        </is>
      </c>
      <c r="B6" s="36" t="inlineStr">
        <is>
          <t>Eastgate Manor LLC</t>
        </is>
      </c>
      <c r="C6" s="36" t="inlineStr">
        <is>
          <t>IL</t>
        </is>
      </c>
      <c r="D6" s="37" t="n">
        <v>55911.94</v>
      </c>
      <c r="E6" s="36" t="inlineStr">
        <is>
          <t>Quoted</t>
        </is>
      </c>
      <c r="F6" s="36" t="inlineStr">
        <is>
          <t>Y</t>
        </is>
      </c>
      <c r="G6" s="36" t="n">
        <v>163</v>
      </c>
      <c r="H6" s="36">
        <f>SUMIFS(Src_Locations!$F$2:$F$76,Src_Locations!$B$2:$B$76,A6)</f>
        <v/>
      </c>
      <c r="I6" s="38">
        <f>ABS(G6-H6)/G6</f>
        <v/>
      </c>
      <c r="J6" s="39" t="n">
        <v>10882945</v>
      </c>
      <c r="K6" s="39">
        <f>SUMIFS(Src_Locations!$E$2:$E$76,Src_Locations!$B$2:$B$76,A6)</f>
        <v/>
      </c>
      <c r="L6" s="38">
        <f>ABS(J6-K6)/J6</f>
        <v/>
      </c>
      <c r="M6" s="36">
        <f>COUNTIF(Src_Locations!$B$2:$B$76,A6)</f>
        <v/>
      </c>
      <c r="N6" s="36">
        <f>COUNTIFS(Src_Locations!$B$2:$B$76,A6,Src_Locations!$G$2:$G$76,"&gt;0")</f>
        <v/>
      </c>
      <c r="O6" s="36" t="inlineStr">
        <is>
          <t>N</t>
        </is>
      </c>
      <c r="P6" s="36">
        <f>SUMIFS(Src_Locations!$P$2:$P$76,Src_Locations!$B$2:$B$76,A6)</f>
        <v/>
      </c>
      <c r="Q6" s="36">
        <f>COUNTIFS(Src_Locations!$B$2:$B$76,A6,Src_Locations!$L$2:$L$76,"pending_fence_po")</f>
        <v/>
      </c>
      <c r="R6" s="36">
        <f>COUNTIFS(Src_Locations!$B$2:$B$76,A6,Src_Locations!$I$2:$I$76,"Y")</f>
        <v/>
      </c>
      <c r="S6" s="36">
        <f>SUMIFS(Src_Locations!$R$2:$R$76,Src_Locations!$B$2:$B$76,A6)</f>
        <v/>
      </c>
      <c r="T6" s="40" t="n">
        <v>0.924</v>
      </c>
      <c r="U6" s="40" t="n">
        <v>0.205</v>
      </c>
      <c r="V6" s="40">
        <f>SUMIFS(Src_LossRun!$J$2:$J$43,Src_LossRun!$C$2:$C$43,A6)/D6</f>
        <v/>
      </c>
      <c r="W6" s="39">
        <f>_xlfn.MAXIFS(Src_Locations!$Q$2:$Q$76,Src_Locations!$B$2:$B$76,A6)</f>
        <v/>
      </c>
      <c r="X6" s="36">
        <f>IF(B6="Campus Edge Housing Co.",1,0)</f>
        <v/>
      </c>
      <c r="Y6" s="36">
        <f>IF(V6&gt;=Executive_Summary!$C$8,1,0)</f>
        <v/>
      </c>
      <c r="Z6" s="36">
        <f>IF(S6&gt;0,1,0)</f>
        <v/>
      </c>
      <c r="AA6" s="36">
        <f>(V6&gt;=Executive_Summary!$C$9)+(W6&gt;=Executive_Summary!$C$10)+(I6&gt;Executive_Summary!$C$11)+(L6&gt;Executive_Summary!$C$12)+(P6&gt;0)+(Q6&gt;0)+(N6&gt;0)+(X6=1)</f>
        <v/>
      </c>
      <c r="AB6" s="41">
        <f>IF(Y6=1,"Decline",IF(Z6=1,"Ask Broker",IF(AA6&gt;0,"Refer","Quote")))</f>
        <v/>
      </c>
      <c r="AC6" s="33" t="inlineStr">
        <is>
          <t>Sec 3-6</t>
        </is>
      </c>
      <c r="AD6" s="33" t="inlineStr">
        <is>
          <t>Recomputed LR 22.2%, well under Section 3 thresholds. Location schedule reconciles within tolerance. Inspections current. Quote per granite_ridge_routing_notes.txt.</t>
        </is>
      </c>
    </row>
    <row r="7" ht="23.85" customHeight="1" s="23">
      <c r="A7" s="36" t="inlineStr">
        <is>
          <t>GR-2016</t>
        </is>
      </c>
      <c r="B7" s="36" t="inlineStr">
        <is>
          <t>Fairmount Village Apts</t>
        </is>
      </c>
      <c r="C7" s="36" t="inlineStr">
        <is>
          <t>IA</t>
        </is>
      </c>
      <c r="D7" s="37" t="n">
        <v>67173.60000000001</v>
      </c>
      <c r="E7" s="36" t="inlineStr">
        <is>
          <t>Quoted</t>
        </is>
      </c>
      <c r="F7" s="36" t="inlineStr">
        <is>
          <t>Y</t>
        </is>
      </c>
      <c r="G7" s="36" t="n">
        <v>172</v>
      </c>
      <c r="H7" s="36">
        <f>SUMIFS(Src_Locations!$F$2:$F$76,Src_Locations!$B$2:$B$76,A7)</f>
        <v/>
      </c>
      <c r="I7" s="38">
        <f>ABS(G7-H7)/G7</f>
        <v/>
      </c>
      <c r="J7" s="39" t="n">
        <v>14236352</v>
      </c>
      <c r="K7" s="39">
        <f>SUMIFS(Src_Locations!$E$2:$E$76,Src_Locations!$B$2:$B$76,A7)</f>
        <v/>
      </c>
      <c r="L7" s="38">
        <f>ABS(J7-K7)/J7</f>
        <v/>
      </c>
      <c r="M7" s="36">
        <f>COUNTIF(Src_Locations!$B$2:$B$76,A7)</f>
        <v/>
      </c>
      <c r="N7" s="36">
        <f>COUNTIFS(Src_Locations!$B$2:$B$76,A7,Src_Locations!$G$2:$G$76,"&gt;0")</f>
        <v/>
      </c>
      <c r="O7" s="36" t="inlineStr">
        <is>
          <t>N</t>
        </is>
      </c>
      <c r="P7" s="36">
        <f>SUMIFS(Src_Locations!$P$2:$P$76,Src_Locations!$B$2:$B$76,A7)</f>
        <v/>
      </c>
      <c r="Q7" s="36">
        <f>COUNTIFS(Src_Locations!$B$2:$B$76,A7,Src_Locations!$L$2:$L$76,"pending_fence_po")</f>
        <v/>
      </c>
      <c r="R7" s="36">
        <f>COUNTIFS(Src_Locations!$B$2:$B$76,A7,Src_Locations!$I$2:$I$76,"Y")</f>
        <v/>
      </c>
      <c r="S7" s="36">
        <f>SUMIFS(Src_Locations!$R$2:$R$76,Src_Locations!$B$2:$B$76,A7)</f>
        <v/>
      </c>
      <c r="T7" s="40" t="n">
        <v>0.919</v>
      </c>
      <c r="U7" s="40" t="n">
        <v>0.302</v>
      </c>
      <c r="V7" s="40">
        <f>SUMIFS(Src_LossRun!$J$2:$J$43,Src_LossRun!$C$2:$C$43,A7)/D7</f>
        <v/>
      </c>
      <c r="W7" s="39">
        <f>_xlfn.MAXIFS(Src_Locations!$Q$2:$Q$76,Src_Locations!$B$2:$B$76,A7)</f>
        <v/>
      </c>
      <c r="X7" s="36">
        <f>IF(B7="Campus Edge Housing Co.",1,0)</f>
        <v/>
      </c>
      <c r="Y7" s="36">
        <f>IF(V7&gt;=Executive_Summary!$C$8,1,0)</f>
        <v/>
      </c>
      <c r="Z7" s="36">
        <f>IF(S7&gt;0,1,0)</f>
        <v/>
      </c>
      <c r="AA7" s="36">
        <f>(V7&gt;=Executive_Summary!$C$9)+(W7&gt;=Executive_Summary!$C$10)+(I7&gt;Executive_Summary!$C$11)+(L7&gt;Executive_Summary!$C$12)+(P7&gt;0)+(Q7&gt;0)+(N7&gt;0)+(X7=1)</f>
        <v/>
      </c>
      <c r="AB7" s="41">
        <f>IF(Y7=1,"Decline",IF(Z7=1,"Ask Broker",IF(AA7&gt;0,"Refer","Quote")))</f>
        <v/>
      </c>
      <c r="AC7" s="33" t="inlineStr">
        <is>
          <t>Sec 3-6</t>
        </is>
      </c>
      <c r="AD7" s="33" t="inlineStr">
        <is>
          <t>Attritional LR 18.1% (below 45% Refer band); units, TIV, inspections all clear; no subsidized units, vacancy, or pool hold. Quote per granite_ridge_routing_notes.txt.</t>
        </is>
      </c>
    </row>
    <row r="8" ht="23.85" customHeight="1" s="23">
      <c r="A8" s="36" t="inlineStr">
        <is>
          <t>GR-2018</t>
        </is>
      </c>
      <c r="B8" s="36" t="inlineStr">
        <is>
          <t>Glenwood Terrace LLC</t>
        </is>
      </c>
      <c r="C8" s="36" t="inlineStr">
        <is>
          <t>IA</t>
        </is>
      </c>
      <c r="D8" s="37" t="n">
        <v>54820</v>
      </c>
      <c r="E8" s="36" t="inlineStr">
        <is>
          <t>Quoted</t>
        </is>
      </c>
      <c r="F8" s="36" t="inlineStr">
        <is>
          <t>Y</t>
        </is>
      </c>
      <c r="G8" s="36" t="n">
        <v>112</v>
      </c>
      <c r="H8" s="36">
        <f>SUMIFS(Src_Locations!$F$2:$F$76,Src_Locations!$B$2:$B$76,A8)</f>
        <v/>
      </c>
      <c r="I8" s="38">
        <f>ABS(G8-H8)/G8</f>
        <v/>
      </c>
      <c r="J8" s="39" t="n">
        <v>9340000</v>
      </c>
      <c r="K8" s="39">
        <f>SUMIFS(Src_Locations!$E$2:$E$76,Src_Locations!$B$2:$B$76,A8)</f>
        <v/>
      </c>
      <c r="L8" s="38">
        <f>ABS(J8-K8)/J8</f>
        <v/>
      </c>
      <c r="M8" s="36">
        <f>COUNTIF(Src_Locations!$B$2:$B$76,A8)</f>
        <v/>
      </c>
      <c r="N8" s="36">
        <f>COUNTIFS(Src_Locations!$B$2:$B$76,A8,Src_Locations!$G$2:$G$76,"&gt;0")</f>
        <v/>
      </c>
      <c r="O8" s="36" t="inlineStr">
        <is>
          <t>N</t>
        </is>
      </c>
      <c r="P8" s="36">
        <f>SUMIFS(Src_Locations!$P$2:$P$76,Src_Locations!$B$2:$B$76,A8)</f>
        <v/>
      </c>
      <c r="Q8" s="36">
        <f>COUNTIFS(Src_Locations!$B$2:$B$76,A8,Src_Locations!$L$2:$L$76,"pending_fence_po")</f>
        <v/>
      </c>
      <c r="R8" s="36">
        <f>COUNTIFS(Src_Locations!$B$2:$B$76,A8,Src_Locations!$I$2:$I$76,"Y")</f>
        <v/>
      </c>
      <c r="S8" s="36">
        <f>SUMIFS(Src_Locations!$R$2:$R$76,Src_Locations!$B$2:$B$76,A8)</f>
        <v/>
      </c>
      <c r="T8" s="40" t="n">
        <v>0.972</v>
      </c>
      <c r="U8" s="40" t="n">
        <v>0.186</v>
      </c>
      <c r="V8" s="40">
        <f>SUMIFS(Src_LossRun!$J$2:$J$43,Src_LossRun!$C$2:$C$43,A8)/D8</f>
        <v/>
      </c>
      <c r="W8" s="39">
        <f>_xlfn.MAXIFS(Src_Locations!$Q$2:$Q$76,Src_Locations!$B$2:$B$76,A8)</f>
        <v/>
      </c>
      <c r="X8" s="36">
        <f>IF(B8="Campus Edge Housing Co.",1,0)</f>
        <v/>
      </c>
      <c r="Y8" s="36">
        <f>IF(V8&gt;=Executive_Summary!$C$8,1,0)</f>
        <v/>
      </c>
      <c r="Z8" s="36">
        <f>IF(S8&gt;0,1,0)</f>
        <v/>
      </c>
      <c r="AA8" s="36">
        <f>(V8&gt;=Executive_Summary!$C$9)+(W8&gt;=Executive_Summary!$C$10)+(I8&gt;Executive_Summary!$C$11)+(L8&gt;Executive_Summary!$C$12)+(P8&gt;0)+(Q8&gt;0)+(N8&gt;0)+(X8=1)</f>
        <v/>
      </c>
      <c r="AB8" s="41">
        <f>IF(Y8=1,"Decline",IF(Z8=1,"Ask Broker",IF(AA8&gt;0,"Refer","Quote")))</f>
        <v/>
      </c>
      <c r="AC8" s="33" t="inlineStr">
        <is>
          <t>Sec 3-6</t>
        </is>
      </c>
      <c r="AD8" s="33" t="inlineStr">
        <is>
          <t>Recomputed LR 9.8%, well under Section 3 thresholds. Location schedule reconciles within tolerance. Inspections current. Quote per granite_ridge_routing_notes.txt.</t>
        </is>
      </c>
    </row>
    <row r="9" ht="23.85" customHeight="1" s="23">
      <c r="A9" s="36" t="inlineStr">
        <is>
          <t>GR-2021</t>
        </is>
      </c>
      <c r="B9" s="36" t="inlineStr">
        <is>
          <t>Halsted Walkup Partners</t>
        </is>
      </c>
      <c r="C9" s="36" t="inlineStr">
        <is>
          <t>OH</t>
        </is>
      </c>
      <c r="D9" s="37" t="n">
        <v>69181.2</v>
      </c>
      <c r="E9" s="36" t="inlineStr">
        <is>
          <t>Quoted</t>
        </is>
      </c>
      <c r="F9" s="36" t="inlineStr">
        <is>
          <t>Y</t>
        </is>
      </c>
      <c r="G9" s="36" t="n">
        <v>109</v>
      </c>
      <c r="H9" s="36">
        <f>SUMIFS(Src_Locations!$F$2:$F$76,Src_Locations!$B$2:$B$76,A9)</f>
        <v/>
      </c>
      <c r="I9" s="38">
        <f>ABS(G9-H9)/G9</f>
        <v/>
      </c>
      <c r="J9" s="39" t="n">
        <v>8365947</v>
      </c>
      <c r="K9" s="39">
        <f>SUMIFS(Src_Locations!$E$2:$E$76,Src_Locations!$B$2:$B$76,A9)</f>
        <v/>
      </c>
      <c r="L9" s="38">
        <f>ABS(J9-K9)/J9</f>
        <v/>
      </c>
      <c r="M9" s="36">
        <f>COUNTIF(Src_Locations!$B$2:$B$76,A9)</f>
        <v/>
      </c>
      <c r="N9" s="36">
        <f>COUNTIFS(Src_Locations!$B$2:$B$76,A9,Src_Locations!$G$2:$G$76,"&gt;0")</f>
        <v/>
      </c>
      <c r="O9" s="36" t="inlineStr">
        <is>
          <t>N</t>
        </is>
      </c>
      <c r="P9" s="36">
        <f>SUMIFS(Src_Locations!$P$2:$P$76,Src_Locations!$B$2:$B$76,A9)</f>
        <v/>
      </c>
      <c r="Q9" s="36">
        <f>COUNTIFS(Src_Locations!$B$2:$B$76,A9,Src_Locations!$L$2:$L$76,"pending_fence_po")</f>
        <v/>
      </c>
      <c r="R9" s="36">
        <f>COUNTIFS(Src_Locations!$B$2:$B$76,A9,Src_Locations!$I$2:$I$76,"Y")</f>
        <v/>
      </c>
      <c r="S9" s="36">
        <f>SUMIFS(Src_Locations!$R$2:$R$76,Src_Locations!$B$2:$B$76,A9)</f>
        <v/>
      </c>
      <c r="T9" s="40" t="n">
        <v>0.9429999999999999</v>
      </c>
      <c r="U9" s="40" t="n">
        <v>0.268</v>
      </c>
      <c r="V9" s="40">
        <f>SUMIFS(Src_LossRun!$J$2:$J$43,Src_LossRun!$C$2:$C$43,A9)/D9</f>
        <v/>
      </c>
      <c r="W9" s="39">
        <f>_xlfn.MAXIFS(Src_Locations!$Q$2:$Q$76,Src_Locations!$B$2:$B$76,A9)</f>
        <v/>
      </c>
      <c r="X9" s="36">
        <f>IF(B9="Campus Edge Housing Co.",1,0)</f>
        <v/>
      </c>
      <c r="Y9" s="36">
        <f>IF(V9&gt;=Executive_Summary!$C$8,1,0)</f>
        <v/>
      </c>
      <c r="Z9" s="36">
        <f>IF(S9&gt;0,1,0)</f>
        <v/>
      </c>
      <c r="AA9" s="36">
        <f>(V9&gt;=Executive_Summary!$C$9)+(W9&gt;=Executive_Summary!$C$10)+(I9&gt;Executive_Summary!$C$11)+(L9&gt;Executive_Summary!$C$12)+(P9&gt;0)+(Q9&gt;0)+(N9&gt;0)+(X9=1)</f>
        <v/>
      </c>
      <c r="AB9" s="41">
        <f>IF(Y9=1,"Decline",IF(Z9=1,"Ask Broker",IF(AA9&gt;0,"Refer","Quote")))</f>
        <v/>
      </c>
      <c r="AC9" s="33" t="inlineStr">
        <is>
          <t>Sec 3-6</t>
        </is>
      </c>
      <c r="AD9" s="33" t="inlineStr">
        <is>
          <t>LR 16.4%, no Section 3 trigger. Units and TIV match within tolerance, inspections within the 30-day window, no subsidized units or pool flags. Quote per granite_ridge_routing_notes.txt.</t>
        </is>
      </c>
    </row>
    <row r="10" ht="23.85" customHeight="1" s="23">
      <c r="A10" s="36" t="inlineStr">
        <is>
          <t>GR-2024</t>
        </is>
      </c>
      <c r="B10" s="36" t="inlineStr">
        <is>
          <t>Irving Park Rentals Inc</t>
        </is>
      </c>
      <c r="C10" s="36" t="inlineStr">
        <is>
          <t>IL</t>
        </is>
      </c>
      <c r="D10" s="37" t="n">
        <v>67304.53</v>
      </c>
      <c r="E10" s="36" t="inlineStr">
        <is>
          <t>Quoted</t>
        </is>
      </c>
      <c r="F10" s="36" t="inlineStr">
        <is>
          <t>Y</t>
        </is>
      </c>
      <c r="G10" s="36" t="n">
        <v>116</v>
      </c>
      <c r="H10" s="36">
        <f>SUMIFS(Src_Locations!$F$2:$F$76,Src_Locations!$B$2:$B$76,A10)</f>
        <v/>
      </c>
      <c r="I10" s="38">
        <f>ABS(G10-H10)/G10</f>
        <v/>
      </c>
      <c r="J10" s="39" t="n">
        <v>13032989</v>
      </c>
      <c r="K10" s="39">
        <f>SUMIFS(Src_Locations!$E$2:$E$76,Src_Locations!$B$2:$B$76,A10)</f>
        <v/>
      </c>
      <c r="L10" s="38">
        <f>ABS(J10-K10)/J10</f>
        <v/>
      </c>
      <c r="M10" s="36">
        <f>COUNTIF(Src_Locations!$B$2:$B$76,A10)</f>
        <v/>
      </c>
      <c r="N10" s="36">
        <f>COUNTIFS(Src_Locations!$B$2:$B$76,A10,Src_Locations!$G$2:$G$76,"&gt;0")</f>
        <v/>
      </c>
      <c r="O10" s="36" t="inlineStr">
        <is>
          <t>N</t>
        </is>
      </c>
      <c r="P10" s="36">
        <f>SUMIFS(Src_Locations!$P$2:$P$76,Src_Locations!$B$2:$B$76,A10)</f>
        <v/>
      </c>
      <c r="Q10" s="36">
        <f>COUNTIFS(Src_Locations!$B$2:$B$76,A10,Src_Locations!$L$2:$L$76,"pending_fence_po")</f>
        <v/>
      </c>
      <c r="R10" s="36">
        <f>COUNTIFS(Src_Locations!$B$2:$B$76,A10,Src_Locations!$I$2:$I$76,"Y")</f>
        <v/>
      </c>
      <c r="S10" s="36">
        <f>SUMIFS(Src_Locations!$R$2:$R$76,Src_Locations!$B$2:$B$76,A10)</f>
        <v/>
      </c>
      <c r="T10" s="40" t="n">
        <v>0.954</v>
      </c>
      <c r="U10" s="40" t="n">
        <v>0.174</v>
      </c>
      <c r="V10" s="40">
        <f>SUMIFS(Src_LossRun!$J$2:$J$43,Src_LossRun!$C$2:$C$43,A10)/D10</f>
        <v/>
      </c>
      <c r="W10" s="39">
        <f>_xlfn.MAXIFS(Src_Locations!$Q$2:$Q$76,Src_Locations!$B$2:$B$76,A10)</f>
        <v/>
      </c>
      <c r="X10" s="36">
        <f>IF(B10="Campus Edge Housing Co.",1,0)</f>
        <v/>
      </c>
      <c r="Y10" s="36">
        <f>IF(V10&gt;=Executive_Summary!$C$8,1,0)</f>
        <v/>
      </c>
      <c r="Z10" s="36">
        <f>IF(S10&gt;0,1,0)</f>
        <v/>
      </c>
      <c r="AA10" s="36">
        <f>(V10&gt;=Executive_Summary!$C$9)+(W10&gt;=Executive_Summary!$C$10)+(I10&gt;Executive_Summary!$C$11)+(L10&gt;Executive_Summary!$C$12)+(P10&gt;0)+(Q10&gt;0)+(N10&gt;0)+(X10=1)</f>
        <v/>
      </c>
      <c r="AB10" s="41">
        <f>IF(Y10=1,"Decline",IF(Z10=1,"Ask Broker",IF(AA10&gt;0,"Refer","Quote")))</f>
        <v/>
      </c>
      <c r="AC10" s="33" t="inlineStr">
        <is>
          <t>Sec 3-6</t>
        </is>
      </c>
      <c r="AD10" s="33" t="inlineStr">
        <is>
          <t>Recomputed LR 27.7%, well under Section 3 thresholds. Location schedule reconciles within tolerance. Inspections current. Quote per granite_ridge_routing_notes.txt.</t>
        </is>
      </c>
    </row>
    <row r="11" ht="23.85" customHeight="1" s="23">
      <c r="A11" s="36" t="inlineStr">
        <is>
          <t>GR-2027</t>
        </is>
      </c>
      <c r="B11" s="36" t="inlineStr">
        <is>
          <t>Jefferson Grove MF LLC</t>
        </is>
      </c>
      <c r="C11" s="36" t="inlineStr">
        <is>
          <t>OH</t>
        </is>
      </c>
      <c r="D11" s="37" t="n">
        <v>53257.33</v>
      </c>
      <c r="E11" s="36" t="inlineStr">
        <is>
          <t>Quoted</t>
        </is>
      </c>
      <c r="F11" s="36" t="inlineStr">
        <is>
          <t>Y</t>
        </is>
      </c>
      <c r="G11" s="36" t="n">
        <v>132</v>
      </c>
      <c r="H11" s="36">
        <f>SUMIFS(Src_Locations!$F$2:$F$76,Src_Locations!$B$2:$B$76,A11)</f>
        <v/>
      </c>
      <c r="I11" s="38">
        <f>ABS(G11-H11)/G11</f>
        <v/>
      </c>
      <c r="J11" s="39" t="n">
        <v>8723089</v>
      </c>
      <c r="K11" s="39">
        <f>SUMIFS(Src_Locations!$E$2:$E$76,Src_Locations!$B$2:$B$76,A11)</f>
        <v/>
      </c>
      <c r="L11" s="38">
        <f>ABS(J11-K11)/J11</f>
        <v/>
      </c>
      <c r="M11" s="36">
        <f>COUNTIF(Src_Locations!$B$2:$B$76,A11)</f>
        <v/>
      </c>
      <c r="N11" s="36">
        <f>COUNTIFS(Src_Locations!$B$2:$B$76,A11,Src_Locations!$G$2:$G$76,"&gt;0")</f>
        <v/>
      </c>
      <c r="O11" s="36" t="inlineStr">
        <is>
          <t>N</t>
        </is>
      </c>
      <c r="P11" s="36">
        <f>SUMIFS(Src_Locations!$P$2:$P$76,Src_Locations!$B$2:$B$76,A11)</f>
        <v/>
      </c>
      <c r="Q11" s="36">
        <f>COUNTIFS(Src_Locations!$B$2:$B$76,A11,Src_Locations!$L$2:$L$76,"pending_fence_po")</f>
        <v/>
      </c>
      <c r="R11" s="36">
        <f>COUNTIFS(Src_Locations!$B$2:$B$76,A11,Src_Locations!$I$2:$I$76,"Y")</f>
        <v/>
      </c>
      <c r="S11" s="36">
        <f>SUMIFS(Src_Locations!$R$2:$R$76,Src_Locations!$B$2:$B$76,A11)</f>
        <v/>
      </c>
      <c r="T11" s="40" t="n">
        <v>0.967</v>
      </c>
      <c r="U11" s="40" t="n">
        <v>0.216</v>
      </c>
      <c r="V11" s="40">
        <f>SUMIFS(Src_LossRun!$J$2:$J$43,Src_LossRun!$C$2:$C$43,A11)/D11</f>
        <v/>
      </c>
      <c r="W11" s="39">
        <f>_xlfn.MAXIFS(Src_Locations!$Q$2:$Q$76,Src_Locations!$B$2:$B$76,A11)</f>
        <v/>
      </c>
      <c r="X11" s="36">
        <f>IF(B11="Campus Edge Housing Co.",1,0)</f>
        <v/>
      </c>
      <c r="Y11" s="36">
        <f>IF(V11&gt;=Executive_Summary!$C$8,1,0)</f>
        <v/>
      </c>
      <c r="Z11" s="36">
        <f>IF(S11&gt;0,1,0)</f>
        <v/>
      </c>
      <c r="AA11" s="36">
        <f>(V11&gt;=Executive_Summary!$C$9)+(W11&gt;=Executive_Summary!$C$10)+(I11&gt;Executive_Summary!$C$11)+(L11&gt;Executive_Summary!$C$12)+(P11&gt;0)+(Q11&gt;0)+(N11&gt;0)+(X11=1)</f>
        <v/>
      </c>
      <c r="AB11" s="41">
        <f>IF(Y11=1,"Decline",IF(Z11=1,"Ask Broker",IF(AA11&gt;0,"Refer","Quote")))</f>
        <v/>
      </c>
      <c r="AC11" s="33" t="inlineStr">
        <is>
          <t>Sec 3-6</t>
        </is>
      </c>
      <c r="AD11" s="33" t="inlineStr">
        <is>
          <t>Section 3 LR 11.6% is below 45%. Schedule reconciliation, inspections, subsidized-housing check, and pool check all clear. Quote per granite_ridge_routing_notes.txt.</t>
        </is>
      </c>
    </row>
    <row r="12" ht="23.85" customHeight="1" s="23">
      <c r="A12" s="36" t="inlineStr">
        <is>
          <t>GR-2030</t>
        </is>
      </c>
      <c r="B12" s="36" t="inlineStr">
        <is>
          <t>Kenwood Station Apts</t>
        </is>
      </c>
      <c r="C12" s="36" t="inlineStr">
        <is>
          <t>IN</t>
        </is>
      </c>
      <c r="D12" s="37" t="n">
        <v>62730.46</v>
      </c>
      <c r="E12" s="36" t="inlineStr">
        <is>
          <t>Quoted</t>
        </is>
      </c>
      <c r="F12" s="36" t="inlineStr">
        <is>
          <t>Y</t>
        </is>
      </c>
      <c r="G12" s="36" t="n">
        <v>68</v>
      </c>
      <c r="H12" s="36">
        <f>SUMIFS(Src_Locations!$F$2:$F$76,Src_Locations!$B$2:$B$76,A12)</f>
        <v/>
      </c>
      <c r="I12" s="38">
        <f>ABS(G12-H12)/G12</f>
        <v/>
      </c>
      <c r="J12" s="39" t="n">
        <v>13985036</v>
      </c>
      <c r="K12" s="39">
        <f>SUMIFS(Src_Locations!$E$2:$E$76,Src_Locations!$B$2:$B$76,A12)</f>
        <v/>
      </c>
      <c r="L12" s="38">
        <f>ABS(J12-K12)/J12</f>
        <v/>
      </c>
      <c r="M12" s="36">
        <f>COUNTIF(Src_Locations!$B$2:$B$76,A12)</f>
        <v/>
      </c>
      <c r="N12" s="36">
        <f>COUNTIFS(Src_Locations!$B$2:$B$76,A12,Src_Locations!$G$2:$G$76,"&gt;0")</f>
        <v/>
      </c>
      <c r="O12" s="36" t="inlineStr">
        <is>
          <t>N</t>
        </is>
      </c>
      <c r="P12" s="36">
        <f>SUMIFS(Src_Locations!$P$2:$P$76,Src_Locations!$B$2:$B$76,A12)</f>
        <v/>
      </c>
      <c r="Q12" s="36">
        <f>COUNTIFS(Src_Locations!$B$2:$B$76,A12,Src_Locations!$L$2:$L$76,"pending_fence_po")</f>
        <v/>
      </c>
      <c r="R12" s="36">
        <f>COUNTIFS(Src_Locations!$B$2:$B$76,A12,Src_Locations!$I$2:$I$76,"Y")</f>
        <v/>
      </c>
      <c r="S12" s="36">
        <f>SUMIFS(Src_Locations!$R$2:$R$76,Src_Locations!$B$2:$B$76,A12)</f>
        <v/>
      </c>
      <c r="T12" s="40" t="n">
        <v>0.921</v>
      </c>
      <c r="U12" s="40" t="n">
        <v>0.219</v>
      </c>
      <c r="V12" s="40">
        <f>SUMIFS(Src_LossRun!$J$2:$J$43,Src_LossRun!$C$2:$C$43,A12)/D12</f>
        <v/>
      </c>
      <c r="W12" s="39">
        <f>_xlfn.MAXIFS(Src_Locations!$Q$2:$Q$76,Src_Locations!$B$2:$B$76,A12)</f>
        <v/>
      </c>
      <c r="X12" s="36">
        <f>IF(B12="Campus Edge Housing Co.",1,0)</f>
        <v/>
      </c>
      <c r="Y12" s="36">
        <f>IF(V12&gt;=Executive_Summary!$C$8,1,0)</f>
        <v/>
      </c>
      <c r="Z12" s="36">
        <f>IF(S12&gt;0,1,0)</f>
        <v/>
      </c>
      <c r="AA12" s="36">
        <f>(V12&gt;=Executive_Summary!$C$9)+(W12&gt;=Executive_Summary!$C$10)+(I12&gt;Executive_Summary!$C$11)+(L12&gt;Executive_Summary!$C$12)+(P12&gt;0)+(Q12&gt;0)+(N12&gt;0)+(X12=1)</f>
        <v/>
      </c>
      <c r="AB12" s="41">
        <f>IF(Y12=1,"Decline",IF(Z12=1,"Ask Broker",IF(AA12&gt;0,"Refer","Quote")))</f>
        <v/>
      </c>
      <c r="AC12" s="33" t="inlineStr">
        <is>
          <t>Sec 3-6</t>
        </is>
      </c>
      <c r="AD12" s="33" t="inlineStr">
        <is>
          <t>Clean on all routing checks. Attritional LR 9.4%; schedule data reconciles; life-safety inspections current; no pool or subsidy flags. Quote per granite_ridge_routing_notes.txt.</t>
        </is>
      </c>
    </row>
    <row r="13" ht="23.85" customHeight="1" s="23">
      <c r="A13" s="36" t="inlineStr">
        <is>
          <t>GR-2033</t>
        </is>
      </c>
      <c r="B13" s="36" t="inlineStr">
        <is>
          <t>Lincolnwood Place LLC</t>
        </is>
      </c>
      <c r="C13" s="36" t="inlineStr">
        <is>
          <t>MN</t>
        </is>
      </c>
      <c r="D13" s="37" t="n">
        <v>52180</v>
      </c>
      <c r="E13" s="36" t="inlineStr">
        <is>
          <t>Quoted</t>
        </is>
      </c>
      <c r="F13" s="36" t="inlineStr">
        <is>
          <t>Y</t>
        </is>
      </c>
      <c r="G13" s="36" t="n">
        <v>72</v>
      </c>
      <c r="H13" s="36">
        <f>SUMIFS(Src_Locations!$F$2:$F$76,Src_Locations!$B$2:$B$76,A13)</f>
        <v/>
      </c>
      <c r="I13" s="38">
        <f>ABS(G13-H13)/G13</f>
        <v/>
      </c>
      <c r="J13" s="39" t="n">
        <v>6840000</v>
      </c>
      <c r="K13" s="39">
        <f>SUMIFS(Src_Locations!$E$2:$E$76,Src_Locations!$B$2:$B$76,A13)</f>
        <v/>
      </c>
      <c r="L13" s="38">
        <f>ABS(J13-K13)/J13</f>
        <v/>
      </c>
      <c r="M13" s="36">
        <f>COUNTIF(Src_Locations!$B$2:$B$76,A13)</f>
        <v/>
      </c>
      <c r="N13" s="36">
        <f>COUNTIFS(Src_Locations!$B$2:$B$76,A13,Src_Locations!$G$2:$G$76,"&gt;0")</f>
        <v/>
      </c>
      <c r="O13" s="36" t="inlineStr">
        <is>
          <t>N</t>
        </is>
      </c>
      <c r="P13" s="36">
        <f>SUMIFS(Src_Locations!$P$2:$P$76,Src_Locations!$B$2:$B$76,A13)</f>
        <v/>
      </c>
      <c r="Q13" s="36">
        <f>COUNTIFS(Src_Locations!$B$2:$B$76,A13,Src_Locations!$L$2:$L$76,"pending_fence_po")</f>
        <v/>
      </c>
      <c r="R13" s="36">
        <f>COUNTIFS(Src_Locations!$B$2:$B$76,A13,Src_Locations!$I$2:$I$76,"Y")</f>
        <v/>
      </c>
      <c r="S13" s="36">
        <f>SUMIFS(Src_Locations!$R$2:$R$76,Src_Locations!$B$2:$B$76,A13)</f>
        <v/>
      </c>
      <c r="T13" s="40" t="n">
        <v>0.884</v>
      </c>
      <c r="U13" s="40" t="n">
        <v>0.192</v>
      </c>
      <c r="V13" s="40">
        <f>SUMIFS(Src_LossRun!$J$2:$J$43,Src_LossRun!$C$2:$C$43,A13)/D13</f>
        <v/>
      </c>
      <c r="W13" s="39">
        <f>_xlfn.MAXIFS(Src_Locations!$Q$2:$Q$76,Src_Locations!$B$2:$B$76,A13)</f>
        <v/>
      </c>
      <c r="X13" s="36">
        <f>IF(B13="Campus Edge Housing Co.",1,0)</f>
        <v/>
      </c>
      <c r="Y13" s="36">
        <f>IF(V13&gt;=Executive_Summary!$C$8,1,0)</f>
        <v/>
      </c>
      <c r="Z13" s="36">
        <f>IF(S13&gt;0,1,0)</f>
        <v/>
      </c>
      <c r="AA13" s="36">
        <f>(V13&gt;=Executive_Summary!$C$9)+(W13&gt;=Executive_Summary!$C$10)+(I13&gt;Executive_Summary!$C$11)+(L13&gt;Executive_Summary!$C$12)+(P13&gt;0)+(Q13&gt;0)+(N13&gt;0)+(X13=1)</f>
        <v/>
      </c>
      <c r="AB13" s="41">
        <f>IF(Y13=1,"Decline",IF(Z13=1,"Ask Broker",IF(AA13&gt;0,"Refer","Quote")))</f>
        <v/>
      </c>
      <c r="AC13" s="33" t="inlineStr">
        <is>
          <t>Sec 6</t>
        </is>
      </c>
      <c r="AD13" s="33" t="inlineStr">
        <is>
          <t>Section 6 Ask Broker: HAB-2033-B vacancy_flag=Y with broker_confirmation=no in granite_ridge_location_schedule.csv; do not quote until broker updates (queue GRP-BRK-UPD).</t>
        </is>
      </c>
    </row>
    <row r="14" ht="23.85" customHeight="1" s="23">
      <c r="A14" s="36" t="inlineStr">
        <is>
          <t>GR-2036</t>
        </is>
      </c>
      <c r="B14" s="36" t="inlineStr">
        <is>
          <t>Monon Trail Residences</t>
        </is>
      </c>
      <c r="C14" s="36" t="inlineStr">
        <is>
          <t>IN</t>
        </is>
      </c>
      <c r="D14" s="37" t="n">
        <v>52729.12</v>
      </c>
      <c r="E14" s="36" t="inlineStr">
        <is>
          <t>Quoted</t>
        </is>
      </c>
      <c r="F14" s="36" t="inlineStr">
        <is>
          <t>Y</t>
        </is>
      </c>
      <c r="G14" s="36" t="n">
        <v>140</v>
      </c>
      <c r="H14" s="36">
        <f>SUMIFS(Src_Locations!$F$2:$F$76,Src_Locations!$B$2:$B$76,A14)</f>
        <v/>
      </c>
      <c r="I14" s="38">
        <f>ABS(G14-H14)/G14</f>
        <v/>
      </c>
      <c r="J14" s="39" t="n">
        <v>15151359</v>
      </c>
      <c r="K14" s="39">
        <f>SUMIFS(Src_Locations!$E$2:$E$76,Src_Locations!$B$2:$B$76,A14)</f>
        <v/>
      </c>
      <c r="L14" s="38">
        <f>ABS(J14-K14)/J14</f>
        <v/>
      </c>
      <c r="M14" s="36">
        <f>COUNTIF(Src_Locations!$B$2:$B$76,A14)</f>
        <v/>
      </c>
      <c r="N14" s="36">
        <f>COUNTIFS(Src_Locations!$B$2:$B$76,A14,Src_Locations!$G$2:$G$76,"&gt;0")</f>
        <v/>
      </c>
      <c r="O14" s="36" t="inlineStr">
        <is>
          <t>N</t>
        </is>
      </c>
      <c r="P14" s="36">
        <f>SUMIFS(Src_Locations!$P$2:$P$76,Src_Locations!$B$2:$B$76,A14)</f>
        <v/>
      </c>
      <c r="Q14" s="36">
        <f>COUNTIFS(Src_Locations!$B$2:$B$76,A14,Src_Locations!$L$2:$L$76,"pending_fence_po")</f>
        <v/>
      </c>
      <c r="R14" s="36">
        <f>COUNTIFS(Src_Locations!$B$2:$B$76,A14,Src_Locations!$I$2:$I$76,"Y")</f>
        <v/>
      </c>
      <c r="S14" s="36">
        <f>SUMIFS(Src_Locations!$R$2:$R$76,Src_Locations!$B$2:$B$76,A14)</f>
        <v/>
      </c>
      <c r="T14" s="40" t="n">
        <v>0.9429999999999999</v>
      </c>
      <c r="U14" s="40" t="n">
        <v>0.131</v>
      </c>
      <c r="V14" s="40">
        <f>SUMIFS(Src_LossRun!$J$2:$J$43,Src_LossRun!$C$2:$C$43,A14)/D14</f>
        <v/>
      </c>
      <c r="W14" s="39">
        <f>_xlfn.MAXIFS(Src_Locations!$Q$2:$Q$76,Src_Locations!$B$2:$B$76,A14)</f>
        <v/>
      </c>
      <c r="X14" s="36">
        <f>IF(B14="Campus Edge Housing Co.",1,0)</f>
        <v/>
      </c>
      <c r="Y14" s="36">
        <f>IF(V14&gt;=Executive_Summary!$C$8,1,0)</f>
        <v/>
      </c>
      <c r="Z14" s="36">
        <f>IF(S14&gt;0,1,0)</f>
        <v/>
      </c>
      <c r="AA14" s="36">
        <f>(V14&gt;=Executive_Summary!$C$9)+(W14&gt;=Executive_Summary!$C$10)+(I14&gt;Executive_Summary!$C$11)+(L14&gt;Executive_Summary!$C$12)+(P14&gt;0)+(Q14&gt;0)+(N14&gt;0)+(X14=1)</f>
        <v/>
      </c>
      <c r="AB14" s="41">
        <f>IF(Y14=1,"Decline",IF(Z14=1,"Ask Broker",IF(AA14&gt;0,"Refer","Quote")))</f>
        <v/>
      </c>
      <c r="AC14" s="33" t="inlineStr">
        <is>
          <t>Sec 3-6</t>
        </is>
      </c>
      <c r="AD14" s="33" t="inlineStr">
        <is>
          <t>Section 3 LR 20.9% is below 45%. Schedule reconciliation, inspections, subsidized-housing check, and pool check all clear. Quote per granite_ridge_routing_notes.txt.</t>
        </is>
      </c>
    </row>
    <row r="15" ht="23.85" customHeight="1" s="23">
      <c r="A15" s="36" t="inlineStr">
        <is>
          <t>GR-2039</t>
        </is>
      </c>
      <c r="B15" s="36" t="inlineStr">
        <is>
          <t>Norwood Court Apts</t>
        </is>
      </c>
      <c r="C15" s="36" t="inlineStr">
        <is>
          <t>MI</t>
        </is>
      </c>
      <c r="D15" s="37" t="n">
        <v>54743.51</v>
      </c>
      <c r="E15" s="36" t="inlineStr">
        <is>
          <t>Quoted</t>
        </is>
      </c>
      <c r="F15" s="36" t="inlineStr">
        <is>
          <t>Y</t>
        </is>
      </c>
      <c r="G15" s="36" t="n">
        <v>144</v>
      </c>
      <c r="H15" s="36">
        <f>SUMIFS(Src_Locations!$F$2:$F$76,Src_Locations!$B$2:$B$76,A15)</f>
        <v/>
      </c>
      <c r="I15" s="38">
        <f>ABS(G15-H15)/G15</f>
        <v/>
      </c>
      <c r="J15" s="39" t="n">
        <v>8760788</v>
      </c>
      <c r="K15" s="39">
        <f>SUMIFS(Src_Locations!$E$2:$E$76,Src_Locations!$B$2:$B$76,A15)</f>
        <v/>
      </c>
      <c r="L15" s="38">
        <f>ABS(J15-K15)/J15</f>
        <v/>
      </c>
      <c r="M15" s="36">
        <f>COUNTIF(Src_Locations!$B$2:$B$76,A15)</f>
        <v/>
      </c>
      <c r="N15" s="36">
        <f>COUNTIFS(Src_Locations!$B$2:$B$76,A15,Src_Locations!$G$2:$G$76,"&gt;0")</f>
        <v/>
      </c>
      <c r="O15" s="36" t="inlineStr">
        <is>
          <t>N</t>
        </is>
      </c>
      <c r="P15" s="36">
        <f>SUMIFS(Src_Locations!$P$2:$P$76,Src_Locations!$B$2:$B$76,A15)</f>
        <v/>
      </c>
      <c r="Q15" s="36">
        <f>COUNTIFS(Src_Locations!$B$2:$B$76,A15,Src_Locations!$L$2:$L$76,"pending_fence_po")</f>
        <v/>
      </c>
      <c r="R15" s="36">
        <f>COUNTIFS(Src_Locations!$B$2:$B$76,A15,Src_Locations!$I$2:$I$76,"Y")</f>
        <v/>
      </c>
      <c r="S15" s="36">
        <f>SUMIFS(Src_Locations!$R$2:$R$76,Src_Locations!$B$2:$B$76,A15)</f>
        <v/>
      </c>
      <c r="T15" s="40" t="n">
        <v>0.944</v>
      </c>
      <c r="U15" s="40" t="n">
        <v>0.135</v>
      </c>
      <c r="V15" s="40">
        <f>SUMIFS(Src_LossRun!$J$2:$J$43,Src_LossRun!$C$2:$C$43,A15)/D15</f>
        <v/>
      </c>
      <c r="W15" s="39">
        <f>_xlfn.MAXIFS(Src_Locations!$Q$2:$Q$76,Src_Locations!$B$2:$B$76,A15)</f>
        <v/>
      </c>
      <c r="X15" s="36">
        <f>IF(B15="Campus Edge Housing Co.",1,0)</f>
        <v/>
      </c>
      <c r="Y15" s="36">
        <f>IF(V15&gt;=Executive_Summary!$C$8,1,0)</f>
        <v/>
      </c>
      <c r="Z15" s="36">
        <f>IF(S15&gt;0,1,0)</f>
        <v/>
      </c>
      <c r="AA15" s="36">
        <f>(V15&gt;=Executive_Summary!$C$9)+(W15&gt;=Executive_Summary!$C$10)+(I15&gt;Executive_Summary!$C$11)+(L15&gt;Executive_Summary!$C$12)+(P15&gt;0)+(Q15&gt;0)+(N15&gt;0)+(X15=1)</f>
        <v/>
      </c>
      <c r="AB15" s="41">
        <f>IF(Y15=1,"Decline",IF(Z15=1,"Ask Broker",IF(AA15&gt;0,"Refer","Quote")))</f>
        <v/>
      </c>
      <c r="AC15" s="33" t="inlineStr">
        <is>
          <t>Sec 3-6</t>
        </is>
      </c>
      <c r="AD15" s="33" t="inlineStr">
        <is>
          <t>Attritional LR 17.3%. Units/TIV within tolerance; inspections within grace window; no subsidized-housing, vacancy, or pool triggers. Quote per granite_ridge_routing_notes.txt.</t>
        </is>
      </c>
    </row>
    <row r="16" ht="23.85" customHeight="1" s="23">
      <c r="A16" s="36" t="inlineStr">
        <is>
          <t>GR-2042</t>
        </is>
      </c>
      <c r="B16" s="36" t="inlineStr">
        <is>
          <t>Ottawa River Flats</t>
        </is>
      </c>
      <c r="C16" s="36" t="inlineStr">
        <is>
          <t>MI</t>
        </is>
      </c>
      <c r="D16" s="37" t="n">
        <v>68307.56</v>
      </c>
      <c r="E16" s="36" t="inlineStr">
        <is>
          <t>Quoted</t>
        </is>
      </c>
      <c r="F16" s="36" t="inlineStr">
        <is>
          <t>Y</t>
        </is>
      </c>
      <c r="G16" s="36" t="n">
        <v>127</v>
      </c>
      <c r="H16" s="36">
        <f>SUMIFS(Src_Locations!$F$2:$F$76,Src_Locations!$B$2:$B$76,A16)</f>
        <v/>
      </c>
      <c r="I16" s="38">
        <f>ABS(G16-H16)/G16</f>
        <v/>
      </c>
      <c r="J16" s="39" t="n">
        <v>18278951</v>
      </c>
      <c r="K16" s="39">
        <f>SUMIFS(Src_Locations!$E$2:$E$76,Src_Locations!$B$2:$B$76,A16)</f>
        <v/>
      </c>
      <c r="L16" s="38">
        <f>ABS(J16-K16)/J16</f>
        <v/>
      </c>
      <c r="M16" s="36">
        <f>COUNTIF(Src_Locations!$B$2:$B$76,A16)</f>
        <v/>
      </c>
      <c r="N16" s="36">
        <f>COUNTIFS(Src_Locations!$B$2:$B$76,A16,Src_Locations!$G$2:$G$76,"&gt;0")</f>
        <v/>
      </c>
      <c r="O16" s="36" t="inlineStr">
        <is>
          <t>N</t>
        </is>
      </c>
      <c r="P16" s="36">
        <f>SUMIFS(Src_Locations!$P$2:$P$76,Src_Locations!$B$2:$B$76,A16)</f>
        <v/>
      </c>
      <c r="Q16" s="36">
        <f>COUNTIFS(Src_Locations!$B$2:$B$76,A16,Src_Locations!$L$2:$L$76,"pending_fence_po")</f>
        <v/>
      </c>
      <c r="R16" s="36">
        <f>COUNTIFS(Src_Locations!$B$2:$B$76,A16,Src_Locations!$I$2:$I$76,"Y")</f>
        <v/>
      </c>
      <c r="S16" s="36">
        <f>SUMIFS(Src_Locations!$R$2:$R$76,Src_Locations!$B$2:$B$76,A16)</f>
        <v/>
      </c>
      <c r="T16" s="40" t="n">
        <v>0.926</v>
      </c>
      <c r="U16" s="40" t="n">
        <v>0.163</v>
      </c>
      <c r="V16" s="40">
        <f>SUMIFS(Src_LossRun!$J$2:$J$43,Src_LossRun!$C$2:$C$43,A16)/D16</f>
        <v/>
      </c>
      <c r="W16" s="39">
        <f>_xlfn.MAXIFS(Src_Locations!$Q$2:$Q$76,Src_Locations!$B$2:$B$76,A16)</f>
        <v/>
      </c>
      <c r="X16" s="36">
        <f>IF(B16="Campus Edge Housing Co.",1,0)</f>
        <v/>
      </c>
      <c r="Y16" s="36">
        <f>IF(V16&gt;=Executive_Summary!$C$8,1,0)</f>
        <v/>
      </c>
      <c r="Z16" s="36">
        <f>IF(S16&gt;0,1,0)</f>
        <v/>
      </c>
      <c r="AA16" s="36">
        <f>(V16&gt;=Executive_Summary!$C$9)+(W16&gt;=Executive_Summary!$C$10)+(I16&gt;Executive_Summary!$C$11)+(L16&gt;Executive_Summary!$C$12)+(P16&gt;0)+(Q16&gt;0)+(N16&gt;0)+(X16=1)</f>
        <v/>
      </c>
      <c r="AB16" s="41">
        <f>IF(Y16=1,"Decline",IF(Z16=1,"Ask Broker",IF(AA16&gt;0,"Refer","Quote")))</f>
        <v/>
      </c>
      <c r="AC16" s="33" t="inlineStr">
        <is>
          <t>Sec 3-6</t>
        </is>
      </c>
      <c r="AD16" s="33" t="inlineStr">
        <is>
          <t>Recomputed LR 25.9%, well under Section 3 thresholds. Location schedule reconciles within tolerance. Inspections current. Quote per granite_ridge_routing_notes.txt.</t>
        </is>
      </c>
    </row>
    <row r="17" ht="23.85" customHeight="1" s="23">
      <c r="A17" s="36" t="inlineStr">
        <is>
          <t>GR-2045</t>
        </is>
      </c>
      <c r="B17" s="36" t="inlineStr">
        <is>
          <t>Pullman Yard Housing</t>
        </is>
      </c>
      <c r="C17" s="36" t="inlineStr">
        <is>
          <t>MO</t>
        </is>
      </c>
      <c r="D17" s="37" t="n">
        <v>95337.42999999999</v>
      </c>
      <c r="E17" s="36" t="inlineStr">
        <is>
          <t>Quoted</t>
        </is>
      </c>
      <c r="F17" s="36" t="inlineStr">
        <is>
          <t>Y</t>
        </is>
      </c>
      <c r="G17" s="36" t="n">
        <v>100</v>
      </c>
      <c r="H17" s="36">
        <f>SUMIFS(Src_Locations!$F$2:$F$76,Src_Locations!$B$2:$B$76,A17)</f>
        <v/>
      </c>
      <c r="I17" s="38">
        <f>ABS(G17-H17)/G17</f>
        <v/>
      </c>
      <c r="J17" s="39" t="n">
        <v>16888588</v>
      </c>
      <c r="K17" s="39">
        <f>SUMIFS(Src_Locations!$E$2:$E$76,Src_Locations!$B$2:$B$76,A17)</f>
        <v/>
      </c>
      <c r="L17" s="38">
        <f>ABS(J17-K17)/J17</f>
        <v/>
      </c>
      <c r="M17" s="36">
        <f>COUNTIF(Src_Locations!$B$2:$B$76,A17)</f>
        <v/>
      </c>
      <c r="N17" s="36">
        <f>COUNTIFS(Src_Locations!$B$2:$B$76,A17,Src_Locations!$G$2:$G$76,"&gt;0")</f>
        <v/>
      </c>
      <c r="O17" s="36" t="inlineStr">
        <is>
          <t>N</t>
        </is>
      </c>
      <c r="P17" s="36">
        <f>SUMIFS(Src_Locations!$P$2:$P$76,Src_Locations!$B$2:$B$76,A17)</f>
        <v/>
      </c>
      <c r="Q17" s="36">
        <f>COUNTIFS(Src_Locations!$B$2:$B$76,A17,Src_Locations!$L$2:$L$76,"pending_fence_po")</f>
        <v/>
      </c>
      <c r="R17" s="36">
        <f>COUNTIFS(Src_Locations!$B$2:$B$76,A17,Src_Locations!$I$2:$I$76,"Y")</f>
        <v/>
      </c>
      <c r="S17" s="36">
        <f>SUMIFS(Src_Locations!$R$2:$R$76,Src_Locations!$B$2:$B$76,A17)</f>
        <v/>
      </c>
      <c r="T17" s="40" t="n">
        <v>0.95</v>
      </c>
      <c r="U17" s="40" t="n">
        <v>0.272</v>
      </c>
      <c r="V17" s="40">
        <f>SUMIFS(Src_LossRun!$J$2:$J$43,Src_LossRun!$C$2:$C$43,A17)/D17</f>
        <v/>
      </c>
      <c r="W17" s="39">
        <f>_xlfn.MAXIFS(Src_Locations!$Q$2:$Q$76,Src_Locations!$B$2:$B$76,A17)</f>
        <v/>
      </c>
      <c r="X17" s="36">
        <f>IF(B17="Campus Edge Housing Co.",1,0)</f>
        <v/>
      </c>
      <c r="Y17" s="36">
        <f>IF(V17&gt;=Executive_Summary!$C$8,1,0)</f>
        <v/>
      </c>
      <c r="Z17" s="36">
        <f>IF(S17&gt;0,1,0)</f>
        <v/>
      </c>
      <c r="AA17" s="36">
        <f>(V17&gt;=Executive_Summary!$C$9)+(W17&gt;=Executive_Summary!$C$10)+(I17&gt;Executive_Summary!$C$11)+(L17&gt;Executive_Summary!$C$12)+(P17&gt;0)+(Q17&gt;0)+(N17&gt;0)+(X17=1)</f>
        <v/>
      </c>
      <c r="AB17" s="41">
        <f>IF(Y17=1,"Decline",IF(Z17=1,"Ask Broker",IF(AA17&gt;0,"Refer","Quote")))</f>
        <v/>
      </c>
      <c r="AC17" s="33" t="inlineStr">
        <is>
          <t>Sec 3-6</t>
        </is>
      </c>
      <c r="AD17" s="33" t="inlineStr">
        <is>
          <t>LR 13.6%, no Section 3 trigger. Units and TIV match within tolerance, inspections within the 30-day window, no subsidized units or pool flags. Quote per granite_ridge_routing_notes.txt.</t>
        </is>
      </c>
    </row>
    <row r="18" ht="35.05" customHeight="1" s="23">
      <c r="A18" s="36" t="inlineStr">
        <is>
          <t>GR-2047</t>
        </is>
      </c>
      <c r="B18" s="36" t="inlineStr">
        <is>
          <t>Quincy Street Apts LLC</t>
        </is>
      </c>
      <c r="C18" s="36" t="inlineStr">
        <is>
          <t>OH</t>
        </is>
      </c>
      <c r="D18" s="37" t="n">
        <v>61240</v>
      </c>
      <c r="E18" s="36" t="inlineStr">
        <is>
          <t>Quoted</t>
        </is>
      </c>
      <c r="F18" s="36" t="inlineStr">
        <is>
          <t>Y</t>
        </is>
      </c>
      <c r="G18" s="36" t="n">
        <v>128</v>
      </c>
      <c r="H18" s="36">
        <f>SUMIFS(Src_Locations!$F$2:$F$76,Src_Locations!$B$2:$B$76,A18)</f>
        <v/>
      </c>
      <c r="I18" s="38">
        <f>ABS(G18-H18)/G18</f>
        <v/>
      </c>
      <c r="J18" s="39" t="n">
        <v>10280000</v>
      </c>
      <c r="K18" s="39">
        <f>SUMIFS(Src_Locations!$E$2:$E$76,Src_Locations!$B$2:$B$76,A18)</f>
        <v/>
      </c>
      <c r="L18" s="38">
        <f>ABS(J18-K18)/J18</f>
        <v/>
      </c>
      <c r="M18" s="36">
        <f>COUNTIF(Src_Locations!$B$2:$B$76,A18)</f>
        <v/>
      </c>
      <c r="N18" s="36">
        <f>COUNTIFS(Src_Locations!$B$2:$B$76,A18,Src_Locations!$G$2:$G$76,"&gt;0")</f>
        <v/>
      </c>
      <c r="O18" s="36" t="inlineStr">
        <is>
          <t>N</t>
        </is>
      </c>
      <c r="P18" s="36">
        <f>SUMIFS(Src_Locations!$P$2:$P$76,Src_Locations!$B$2:$B$76,A18)</f>
        <v/>
      </c>
      <c r="Q18" s="36">
        <f>COUNTIFS(Src_Locations!$B$2:$B$76,A18,Src_Locations!$L$2:$L$76,"pending_fence_po")</f>
        <v/>
      </c>
      <c r="R18" s="36">
        <f>COUNTIFS(Src_Locations!$B$2:$B$76,A18,Src_Locations!$I$2:$I$76,"Y")</f>
        <v/>
      </c>
      <c r="S18" s="36">
        <f>SUMIFS(Src_Locations!$R$2:$R$76,Src_Locations!$B$2:$B$76,A18)</f>
        <v/>
      </c>
      <c r="T18" s="40" t="n">
        <v>0.9399999999999999</v>
      </c>
      <c r="U18" s="40" t="n">
        <v>0.213</v>
      </c>
      <c r="V18" s="40">
        <f>SUMIFS(Src_LossRun!$J$2:$J$43,Src_LossRun!$C$2:$C$43,A18)/D18</f>
        <v/>
      </c>
      <c r="W18" s="39">
        <f>_xlfn.MAXIFS(Src_Locations!$Q$2:$Q$76,Src_Locations!$B$2:$B$76,A18)</f>
        <v/>
      </c>
      <c r="X18" s="36">
        <f>IF(B18="Campus Edge Housing Co.",1,0)</f>
        <v/>
      </c>
      <c r="Y18" s="36">
        <f>IF(V18&gt;=Executive_Summary!$C$8,1,0)</f>
        <v/>
      </c>
      <c r="Z18" s="36">
        <f>IF(S18&gt;0,1,0)</f>
        <v/>
      </c>
      <c r="AA18" s="36">
        <f>(V18&gt;=Executive_Summary!$C$9)+(W18&gt;=Executive_Summary!$C$10)+(I18&gt;Executive_Summary!$C$11)+(L18&gt;Executive_Summary!$C$12)+(P18&gt;0)+(Q18&gt;0)+(N18&gt;0)+(X18=1)</f>
        <v/>
      </c>
      <c r="AB18" s="41">
        <f>IF(Y18=1,"Decline",IF(Z18=1,"Ask Broker",IF(AA18&gt;0,"Refer","Quote")))</f>
        <v/>
      </c>
      <c r="AC18" s="33" t="inlineStr">
        <is>
          <t>Sec 6</t>
        </is>
      </c>
      <c r="AD18" s="33" t="inlineStr">
        <is>
          <t>Quote: HAB-2047-B vacancy_flag=Y but broker_confirmation=yes (documented) and account occupancy 94.0% is not full occupancy, so neither Section 6 vacancy trigger is active; recomputed attritional LR 7.8%; no other trigger (granite_ridge_routing_notes.txt).</t>
        </is>
      </c>
    </row>
    <row r="19" ht="23.85" customHeight="1" s="23">
      <c r="A19" s="36" t="inlineStr">
        <is>
          <t>GR-2050</t>
        </is>
      </c>
      <c r="B19" s="36" t="inlineStr">
        <is>
          <t>Ravenswood Arms Co.</t>
        </is>
      </c>
      <c r="C19" s="36" t="inlineStr">
        <is>
          <t>IA</t>
        </is>
      </c>
      <c r="D19" s="37" t="n">
        <v>80785.72</v>
      </c>
      <c r="E19" s="36" t="inlineStr">
        <is>
          <t>Quoted</t>
        </is>
      </c>
      <c r="F19" s="36" t="inlineStr">
        <is>
          <t>Y</t>
        </is>
      </c>
      <c r="G19" s="36" t="n">
        <v>83</v>
      </c>
      <c r="H19" s="36">
        <f>SUMIFS(Src_Locations!$F$2:$F$76,Src_Locations!$B$2:$B$76,A19)</f>
        <v/>
      </c>
      <c r="I19" s="38">
        <f>ABS(G19-H19)/G19</f>
        <v/>
      </c>
      <c r="J19" s="39" t="n">
        <v>16631737</v>
      </c>
      <c r="K19" s="39">
        <f>SUMIFS(Src_Locations!$E$2:$E$76,Src_Locations!$B$2:$B$76,A19)</f>
        <v/>
      </c>
      <c r="L19" s="38">
        <f>ABS(J19-K19)/J19</f>
        <v/>
      </c>
      <c r="M19" s="36">
        <f>COUNTIF(Src_Locations!$B$2:$B$76,A19)</f>
        <v/>
      </c>
      <c r="N19" s="36">
        <f>COUNTIFS(Src_Locations!$B$2:$B$76,A19,Src_Locations!$G$2:$G$76,"&gt;0")</f>
        <v/>
      </c>
      <c r="O19" s="36" t="inlineStr">
        <is>
          <t>N</t>
        </is>
      </c>
      <c r="P19" s="36">
        <f>SUMIFS(Src_Locations!$P$2:$P$76,Src_Locations!$B$2:$B$76,A19)</f>
        <v/>
      </c>
      <c r="Q19" s="36">
        <f>COUNTIFS(Src_Locations!$B$2:$B$76,A19,Src_Locations!$L$2:$L$76,"pending_fence_po")</f>
        <v/>
      </c>
      <c r="R19" s="36">
        <f>COUNTIFS(Src_Locations!$B$2:$B$76,A19,Src_Locations!$I$2:$I$76,"Y")</f>
        <v/>
      </c>
      <c r="S19" s="36">
        <f>SUMIFS(Src_Locations!$R$2:$R$76,Src_Locations!$B$2:$B$76,A19)</f>
        <v/>
      </c>
      <c r="T19" s="40" t="n">
        <v>0.95</v>
      </c>
      <c r="U19" s="40" t="n">
        <v>0.191</v>
      </c>
      <c r="V19" s="40">
        <f>SUMIFS(Src_LossRun!$J$2:$J$43,Src_LossRun!$C$2:$C$43,A19)/D19</f>
        <v/>
      </c>
      <c r="W19" s="39">
        <f>_xlfn.MAXIFS(Src_Locations!$Q$2:$Q$76,Src_Locations!$B$2:$B$76,A19)</f>
        <v/>
      </c>
      <c r="X19" s="36">
        <f>IF(B19="Campus Edge Housing Co.",1,0)</f>
        <v/>
      </c>
      <c r="Y19" s="36">
        <f>IF(V19&gt;=Executive_Summary!$C$8,1,0)</f>
        <v/>
      </c>
      <c r="Z19" s="36">
        <f>IF(S19&gt;0,1,0)</f>
        <v/>
      </c>
      <c r="AA19" s="36">
        <f>(V19&gt;=Executive_Summary!$C$9)+(W19&gt;=Executive_Summary!$C$10)+(I19&gt;Executive_Summary!$C$11)+(L19&gt;Executive_Summary!$C$12)+(P19&gt;0)+(Q19&gt;0)+(N19&gt;0)+(X19=1)</f>
        <v/>
      </c>
      <c r="AB19" s="41">
        <f>IF(Y19=1,"Decline",IF(Z19=1,"Ask Broker",IF(AA19&gt;0,"Refer","Quote")))</f>
        <v/>
      </c>
      <c r="AC19" s="33" t="inlineStr">
        <is>
          <t>Sec 3-6</t>
        </is>
      </c>
      <c r="AD19" s="33" t="inlineStr">
        <is>
          <t>LR 14.2% — no loss trigger. Unit count and TIV tie within thresholds. Life-safety current. No subsidy or pool flags. Quote per granite_ridge_routing_notes.txt.</t>
        </is>
      </c>
    </row>
    <row r="20" ht="23.85" customHeight="1" s="23">
      <c r="A20" s="36" t="inlineStr">
        <is>
          <t>GR-2053</t>
        </is>
      </c>
      <c r="B20" s="36" t="inlineStr">
        <is>
          <t>Southport Lane LLC</t>
        </is>
      </c>
      <c r="C20" s="36" t="inlineStr">
        <is>
          <t>OH</t>
        </is>
      </c>
      <c r="D20" s="37" t="n">
        <v>56098.72</v>
      </c>
      <c r="E20" s="36" t="inlineStr">
        <is>
          <t>Quoted</t>
        </is>
      </c>
      <c r="F20" s="36" t="inlineStr">
        <is>
          <t>Y</t>
        </is>
      </c>
      <c r="G20" s="36" t="n">
        <v>104</v>
      </c>
      <c r="H20" s="36">
        <f>SUMIFS(Src_Locations!$F$2:$F$76,Src_Locations!$B$2:$B$76,A20)</f>
        <v/>
      </c>
      <c r="I20" s="38">
        <f>ABS(G20-H20)/G20</f>
        <v/>
      </c>
      <c r="J20" s="39" t="n">
        <v>8562115</v>
      </c>
      <c r="K20" s="39">
        <f>SUMIFS(Src_Locations!$E$2:$E$76,Src_Locations!$B$2:$B$76,A20)</f>
        <v/>
      </c>
      <c r="L20" s="38">
        <f>ABS(J20-K20)/J20</f>
        <v/>
      </c>
      <c r="M20" s="36">
        <f>COUNTIF(Src_Locations!$B$2:$B$76,A20)</f>
        <v/>
      </c>
      <c r="N20" s="36">
        <f>COUNTIFS(Src_Locations!$B$2:$B$76,A20,Src_Locations!$G$2:$G$76,"&gt;0")</f>
        <v/>
      </c>
      <c r="O20" s="36" t="inlineStr">
        <is>
          <t>Y</t>
        </is>
      </c>
      <c r="P20" s="36">
        <f>SUMIFS(Src_Locations!$P$2:$P$76,Src_Locations!$B$2:$B$76,A20)</f>
        <v/>
      </c>
      <c r="Q20" s="36">
        <f>COUNTIFS(Src_Locations!$B$2:$B$76,A20,Src_Locations!$L$2:$L$76,"pending_fence_po")</f>
        <v/>
      </c>
      <c r="R20" s="36">
        <f>COUNTIFS(Src_Locations!$B$2:$B$76,A20,Src_Locations!$I$2:$I$76,"Y")</f>
        <v/>
      </c>
      <c r="S20" s="36">
        <f>SUMIFS(Src_Locations!$R$2:$R$76,Src_Locations!$B$2:$B$76,A20)</f>
        <v/>
      </c>
      <c r="T20" s="40" t="n">
        <v>0.926</v>
      </c>
      <c r="U20" s="40" t="n">
        <v>0.314</v>
      </c>
      <c r="V20" s="40">
        <f>SUMIFS(Src_LossRun!$J$2:$J$43,Src_LossRun!$C$2:$C$43,A20)/D20</f>
        <v/>
      </c>
      <c r="W20" s="39">
        <f>_xlfn.MAXIFS(Src_Locations!$Q$2:$Q$76,Src_Locations!$B$2:$B$76,A20)</f>
        <v/>
      </c>
      <c r="X20" s="36">
        <f>IF(B20="Campus Edge Housing Co.",1,0)</f>
        <v/>
      </c>
      <c r="Y20" s="36">
        <f>IF(V20&gt;=Executive_Summary!$C$8,1,0)</f>
        <v/>
      </c>
      <c r="Z20" s="36">
        <f>IF(S20&gt;0,1,0)</f>
        <v/>
      </c>
      <c r="AA20" s="36">
        <f>(V20&gt;=Executive_Summary!$C$9)+(W20&gt;=Executive_Summary!$C$10)+(I20&gt;Executive_Summary!$C$11)+(L20&gt;Executive_Summary!$C$12)+(P20&gt;0)+(Q20&gt;0)+(N20&gt;0)+(X20=1)</f>
        <v/>
      </c>
      <c r="AB20" s="41">
        <f>IF(Y20=1,"Decline",IF(Z20=1,"Ask Broker",IF(AA20&gt;0,"Refer","Quote")))</f>
        <v/>
      </c>
      <c r="AC20" s="33" t="inlineStr">
        <is>
          <t>Sec 6</t>
        </is>
      </c>
      <c r="AD20" s="33" t="inlineStr">
        <is>
          <t>Section 6: HAB-2053-A has 24 subsidized units; endorsement documentation required (granite_ridge_location_schedule.csv; queue GRP-SUB-HAB).</t>
        </is>
      </c>
    </row>
    <row r="21" ht="23.85" customHeight="1" s="23">
      <c r="A21" s="36" t="inlineStr">
        <is>
          <t>GR-2056</t>
        </is>
      </c>
      <c r="B21" s="36" t="inlineStr">
        <is>
          <t>Troy Hill Apartments</t>
        </is>
      </c>
      <c r="C21" s="36" t="inlineStr">
        <is>
          <t>OH</t>
        </is>
      </c>
      <c r="D21" s="37" t="n">
        <v>44512.79</v>
      </c>
      <c r="E21" s="36" t="inlineStr">
        <is>
          <t>Quoted</t>
        </is>
      </c>
      <c r="F21" s="36" t="inlineStr">
        <is>
          <t>Y</t>
        </is>
      </c>
      <c r="G21" s="36" t="n">
        <v>86</v>
      </c>
      <c r="H21" s="36">
        <f>SUMIFS(Src_Locations!$F$2:$F$76,Src_Locations!$B$2:$B$76,A21)</f>
        <v/>
      </c>
      <c r="I21" s="38">
        <f>ABS(G21-H21)/G21</f>
        <v/>
      </c>
      <c r="J21" s="39" t="n">
        <v>10406450</v>
      </c>
      <c r="K21" s="39">
        <f>SUMIFS(Src_Locations!$E$2:$E$76,Src_Locations!$B$2:$B$76,A21)</f>
        <v/>
      </c>
      <c r="L21" s="38">
        <f>ABS(J21-K21)/J21</f>
        <v/>
      </c>
      <c r="M21" s="36">
        <f>COUNTIF(Src_Locations!$B$2:$B$76,A21)</f>
        <v/>
      </c>
      <c r="N21" s="36">
        <f>COUNTIFS(Src_Locations!$B$2:$B$76,A21,Src_Locations!$G$2:$G$76,"&gt;0")</f>
        <v/>
      </c>
      <c r="O21" s="36" t="inlineStr">
        <is>
          <t>N</t>
        </is>
      </c>
      <c r="P21" s="36">
        <f>SUMIFS(Src_Locations!$P$2:$P$76,Src_Locations!$B$2:$B$76,A21)</f>
        <v/>
      </c>
      <c r="Q21" s="36">
        <f>COUNTIFS(Src_Locations!$B$2:$B$76,A21,Src_Locations!$L$2:$L$76,"pending_fence_po")</f>
        <v/>
      </c>
      <c r="R21" s="36">
        <f>COUNTIFS(Src_Locations!$B$2:$B$76,A21,Src_Locations!$I$2:$I$76,"Y")</f>
        <v/>
      </c>
      <c r="S21" s="36">
        <f>SUMIFS(Src_Locations!$R$2:$R$76,Src_Locations!$B$2:$B$76,A21)</f>
        <v/>
      </c>
      <c r="T21" s="40" t="n">
        <v>0.975</v>
      </c>
      <c r="U21" s="40" t="n">
        <v>0.339</v>
      </c>
      <c r="V21" s="40">
        <f>SUMIFS(Src_LossRun!$J$2:$J$43,Src_LossRun!$C$2:$C$43,A21)/D21</f>
        <v/>
      </c>
      <c r="W21" s="39">
        <f>_xlfn.MAXIFS(Src_Locations!$Q$2:$Q$76,Src_Locations!$B$2:$B$76,A21)</f>
        <v/>
      </c>
      <c r="X21" s="36">
        <f>IF(B21="Campus Edge Housing Co.",1,0)</f>
        <v/>
      </c>
      <c r="Y21" s="36">
        <f>IF(V21&gt;=Executive_Summary!$C$8,1,0)</f>
        <v/>
      </c>
      <c r="Z21" s="36">
        <f>IF(S21&gt;0,1,0)</f>
        <v/>
      </c>
      <c r="AA21" s="36">
        <f>(V21&gt;=Executive_Summary!$C$9)+(W21&gt;=Executive_Summary!$C$10)+(I21&gt;Executive_Summary!$C$11)+(L21&gt;Executive_Summary!$C$12)+(P21&gt;0)+(Q21&gt;0)+(N21&gt;0)+(X21=1)</f>
        <v/>
      </c>
      <c r="AB21" s="41">
        <f>IF(Y21=1,"Decline",IF(Z21=1,"Ask Broker",IF(AA21&gt;0,"Refer","Quote")))</f>
        <v/>
      </c>
      <c r="AC21" s="33" t="inlineStr">
        <is>
          <t>Sec 3-6</t>
        </is>
      </c>
      <c r="AD21" s="33" t="inlineStr">
        <is>
          <t>LR 22.4%, no Section 3 trigger. Units and TIV match within tolerance, inspections within the 30-day window, no subsidized units or pool flags. Quote per granite_ridge_routing_notes.txt.</t>
        </is>
      </c>
    </row>
    <row r="22" ht="23.85" customHeight="1" s="23">
      <c r="A22" s="36" t="inlineStr">
        <is>
          <t>GR-2059</t>
        </is>
      </c>
      <c r="B22" s="36" t="inlineStr">
        <is>
          <t>Union Depot Lofts LLC</t>
        </is>
      </c>
      <c r="C22" s="36" t="inlineStr">
        <is>
          <t>OH</t>
        </is>
      </c>
      <c r="D22" s="37" t="n">
        <v>88435.17999999999</v>
      </c>
      <c r="E22" s="36" t="inlineStr">
        <is>
          <t>Quoted</t>
        </is>
      </c>
      <c r="F22" s="36" t="inlineStr">
        <is>
          <t>Y</t>
        </is>
      </c>
      <c r="G22" s="36" t="n">
        <v>166</v>
      </c>
      <c r="H22" s="36">
        <f>SUMIFS(Src_Locations!$F$2:$F$76,Src_Locations!$B$2:$B$76,A22)</f>
        <v/>
      </c>
      <c r="I22" s="38">
        <f>ABS(G22-H22)/G22</f>
        <v/>
      </c>
      <c r="J22" s="39" t="n">
        <v>17028888</v>
      </c>
      <c r="K22" s="39">
        <f>SUMIFS(Src_Locations!$E$2:$E$76,Src_Locations!$B$2:$B$76,A22)</f>
        <v/>
      </c>
      <c r="L22" s="38">
        <f>ABS(J22-K22)/J22</f>
        <v/>
      </c>
      <c r="M22" s="36">
        <f>COUNTIF(Src_Locations!$B$2:$B$76,A22)</f>
        <v/>
      </c>
      <c r="N22" s="36">
        <f>COUNTIFS(Src_Locations!$B$2:$B$76,A22,Src_Locations!$G$2:$G$76,"&gt;0")</f>
        <v/>
      </c>
      <c r="O22" s="36" t="inlineStr">
        <is>
          <t>N</t>
        </is>
      </c>
      <c r="P22" s="36">
        <f>SUMIFS(Src_Locations!$P$2:$P$76,Src_Locations!$B$2:$B$76,A22)</f>
        <v/>
      </c>
      <c r="Q22" s="36">
        <f>COUNTIFS(Src_Locations!$B$2:$B$76,A22,Src_Locations!$L$2:$L$76,"pending_fence_po")</f>
        <v/>
      </c>
      <c r="R22" s="36">
        <f>COUNTIFS(Src_Locations!$B$2:$B$76,A22,Src_Locations!$I$2:$I$76,"Y")</f>
        <v/>
      </c>
      <c r="S22" s="36">
        <f>SUMIFS(Src_Locations!$R$2:$R$76,Src_Locations!$B$2:$B$76,A22)</f>
        <v/>
      </c>
      <c r="T22" s="40" t="n">
        <v>0.918</v>
      </c>
      <c r="U22" s="40" t="n">
        <v>0.232</v>
      </c>
      <c r="V22" s="40">
        <f>SUMIFS(Src_LossRun!$J$2:$J$43,Src_LossRun!$C$2:$C$43,A22)/D22</f>
        <v/>
      </c>
      <c r="W22" s="39">
        <f>_xlfn.MAXIFS(Src_Locations!$Q$2:$Q$76,Src_Locations!$B$2:$B$76,A22)</f>
        <v/>
      </c>
      <c r="X22" s="36">
        <f>IF(B22="Campus Edge Housing Co.",1,0)</f>
        <v/>
      </c>
      <c r="Y22" s="36">
        <f>IF(V22&gt;=Executive_Summary!$C$8,1,0)</f>
        <v/>
      </c>
      <c r="Z22" s="36">
        <f>IF(S22&gt;0,1,0)</f>
        <v/>
      </c>
      <c r="AA22" s="36">
        <f>(V22&gt;=Executive_Summary!$C$9)+(W22&gt;=Executive_Summary!$C$10)+(I22&gt;Executive_Summary!$C$11)+(L22&gt;Executive_Summary!$C$12)+(P22&gt;0)+(Q22&gt;0)+(N22&gt;0)+(X22=1)</f>
        <v/>
      </c>
      <c r="AB22" s="41">
        <f>IF(Y22=1,"Decline",IF(Z22=1,"Ask Broker",IF(AA22&gt;0,"Refer","Quote")))</f>
        <v/>
      </c>
      <c r="AC22" s="33" t="inlineStr">
        <is>
          <t>Sec 3-6</t>
        </is>
      </c>
      <c r="AD22" s="33" t="inlineStr">
        <is>
          <t>Attritional LR 25.2% (below 45% Refer band); units, TIV, inspections all clear; no subsidized units, vacancy, or pool hold. Quote per granite_ridge_routing_notes.txt.</t>
        </is>
      </c>
    </row>
    <row r="23" ht="23.85" customHeight="1" s="23">
      <c r="A23" s="36" t="inlineStr">
        <is>
          <t>GR-2062</t>
        </is>
      </c>
      <c r="B23" s="36" t="inlineStr">
        <is>
          <t>Vernon Park Residences</t>
        </is>
      </c>
      <c r="C23" s="36" t="inlineStr">
        <is>
          <t>IL</t>
        </is>
      </c>
      <c r="D23" s="37" t="n">
        <v>67739.13</v>
      </c>
      <c r="E23" s="36" t="inlineStr">
        <is>
          <t>Quoted</t>
        </is>
      </c>
      <c r="F23" s="36" t="inlineStr">
        <is>
          <t>Y</t>
        </is>
      </c>
      <c r="G23" s="36" t="n">
        <v>149</v>
      </c>
      <c r="H23" s="36">
        <f>SUMIFS(Src_Locations!$F$2:$F$76,Src_Locations!$B$2:$B$76,A23)</f>
        <v/>
      </c>
      <c r="I23" s="38">
        <f>ABS(G23-H23)/G23</f>
        <v/>
      </c>
      <c r="J23" s="39" t="n">
        <v>11181395</v>
      </c>
      <c r="K23" s="39">
        <f>SUMIFS(Src_Locations!$E$2:$E$76,Src_Locations!$B$2:$B$76,A23)</f>
        <v/>
      </c>
      <c r="L23" s="38">
        <f>ABS(J23-K23)/J23</f>
        <v/>
      </c>
      <c r="M23" s="36">
        <f>COUNTIF(Src_Locations!$B$2:$B$76,A23)</f>
        <v/>
      </c>
      <c r="N23" s="36">
        <f>COUNTIFS(Src_Locations!$B$2:$B$76,A23,Src_Locations!$G$2:$G$76,"&gt;0")</f>
        <v/>
      </c>
      <c r="O23" s="36" t="inlineStr">
        <is>
          <t>N</t>
        </is>
      </c>
      <c r="P23" s="36">
        <f>SUMIFS(Src_Locations!$P$2:$P$76,Src_Locations!$B$2:$B$76,A23)</f>
        <v/>
      </c>
      <c r="Q23" s="36">
        <f>COUNTIFS(Src_Locations!$B$2:$B$76,A23,Src_Locations!$L$2:$L$76,"pending_fence_po")</f>
        <v/>
      </c>
      <c r="R23" s="36">
        <f>COUNTIFS(Src_Locations!$B$2:$B$76,A23,Src_Locations!$I$2:$I$76,"Y")</f>
        <v/>
      </c>
      <c r="S23" s="36">
        <f>SUMIFS(Src_Locations!$R$2:$R$76,Src_Locations!$B$2:$B$76,A23)</f>
        <v/>
      </c>
      <c r="T23" s="40" t="n">
        <v>0.925</v>
      </c>
      <c r="U23" s="40" t="n">
        <v>0.261</v>
      </c>
      <c r="V23" s="40">
        <f>SUMIFS(Src_LossRun!$J$2:$J$43,Src_LossRun!$C$2:$C$43,A23)/D23</f>
        <v/>
      </c>
      <c r="W23" s="39">
        <f>_xlfn.MAXIFS(Src_Locations!$Q$2:$Q$76,Src_Locations!$B$2:$B$76,A23)</f>
        <v/>
      </c>
      <c r="X23" s="36">
        <f>IF(B23="Campus Edge Housing Co.",1,0)</f>
        <v/>
      </c>
      <c r="Y23" s="36">
        <f>IF(V23&gt;=Executive_Summary!$C$8,1,0)</f>
        <v/>
      </c>
      <c r="Z23" s="36">
        <f>IF(S23&gt;0,1,0)</f>
        <v/>
      </c>
      <c r="AA23" s="36">
        <f>(V23&gt;=Executive_Summary!$C$9)+(W23&gt;=Executive_Summary!$C$10)+(I23&gt;Executive_Summary!$C$11)+(L23&gt;Executive_Summary!$C$12)+(P23&gt;0)+(Q23&gt;0)+(N23&gt;0)+(X23=1)</f>
        <v/>
      </c>
      <c r="AB23" s="41">
        <f>IF(Y23=1,"Decline",IF(Z23=1,"Ask Broker",IF(AA23&gt;0,"Refer","Quote")))</f>
        <v/>
      </c>
      <c r="AC23" s="33" t="inlineStr">
        <is>
          <t>Sec 3-6</t>
        </is>
      </c>
      <c r="AD23" s="33" t="inlineStr">
        <is>
          <t>Attritional LR 19.2% (below 45% Refer band); units, TIV, inspections all clear; no subsidized units, vacancy, or pool hold. Quote per granite_ridge_routing_notes.txt.</t>
        </is>
      </c>
    </row>
    <row r="24" ht="23.85" customHeight="1" s="23">
      <c r="A24" s="36" t="inlineStr">
        <is>
          <t>GR-2065</t>
        </is>
      </c>
      <c r="B24" s="36" t="inlineStr">
        <is>
          <t>Campus Edge Housing Co.</t>
        </is>
      </c>
      <c r="C24" s="36" t="inlineStr">
        <is>
          <t>OH</t>
        </is>
      </c>
      <c r="D24" s="37" t="n">
        <v>60820.87</v>
      </c>
      <c r="E24" s="36" t="inlineStr">
        <is>
          <t>Quoted</t>
        </is>
      </c>
      <c r="F24" s="36" t="inlineStr">
        <is>
          <t>Y</t>
        </is>
      </c>
      <c r="G24" s="36" t="n">
        <v>131</v>
      </c>
      <c r="H24" s="36">
        <f>SUMIFS(Src_Locations!$F$2:$F$76,Src_Locations!$B$2:$B$76,A24)</f>
        <v/>
      </c>
      <c r="I24" s="38">
        <f>ABS(G24-H24)/G24</f>
        <v/>
      </c>
      <c r="J24" s="39" t="n">
        <v>18149517</v>
      </c>
      <c r="K24" s="39">
        <f>SUMIFS(Src_Locations!$E$2:$E$76,Src_Locations!$B$2:$B$76,A24)</f>
        <v/>
      </c>
      <c r="L24" s="38">
        <f>ABS(J24-K24)/J24</f>
        <v/>
      </c>
      <c r="M24" s="36">
        <f>COUNTIF(Src_Locations!$B$2:$B$76,A24)</f>
        <v/>
      </c>
      <c r="N24" s="36">
        <f>COUNTIFS(Src_Locations!$B$2:$B$76,A24,Src_Locations!$G$2:$G$76,"&gt;0")</f>
        <v/>
      </c>
      <c r="O24" s="36" t="inlineStr">
        <is>
          <t>N</t>
        </is>
      </c>
      <c r="P24" s="36">
        <f>SUMIFS(Src_Locations!$P$2:$P$76,Src_Locations!$B$2:$B$76,A24)</f>
        <v/>
      </c>
      <c r="Q24" s="36">
        <f>COUNTIFS(Src_Locations!$B$2:$B$76,A24,Src_Locations!$L$2:$L$76,"pending_fence_po")</f>
        <v/>
      </c>
      <c r="R24" s="36">
        <f>COUNTIFS(Src_Locations!$B$2:$B$76,A24,Src_Locations!$I$2:$I$76,"Y")</f>
        <v/>
      </c>
      <c r="S24" s="36">
        <f>SUMIFS(Src_Locations!$R$2:$R$76,Src_Locations!$B$2:$B$76,A24)</f>
        <v/>
      </c>
      <c r="T24" s="40" t="n">
        <v>0.977</v>
      </c>
      <c r="U24" s="40" t="n">
        <v>0.297</v>
      </c>
      <c r="V24" s="40">
        <f>SUMIFS(Src_LossRun!$J$2:$J$43,Src_LossRun!$C$2:$C$43,A24)/D24</f>
        <v/>
      </c>
      <c r="W24" s="39">
        <f>_xlfn.MAXIFS(Src_Locations!$Q$2:$Q$76,Src_Locations!$B$2:$B$76,A24)</f>
        <v/>
      </c>
      <c r="X24" s="36">
        <f>IF(B24="Campus Edge Housing Co.",1,0)</f>
        <v/>
      </c>
      <c r="Y24" s="36">
        <f>IF(V24&gt;=Executive_Summary!$C$8,1,0)</f>
        <v/>
      </c>
      <c r="Z24" s="36">
        <f>IF(S24&gt;0,1,0)</f>
        <v/>
      </c>
      <c r="AA24" s="36">
        <f>(V24&gt;=Executive_Summary!$C$9)+(W24&gt;=Executive_Summary!$C$10)+(I24&gt;Executive_Summary!$C$11)+(L24&gt;Executive_Summary!$C$12)+(P24&gt;0)+(Q24&gt;0)+(N24&gt;0)+(X24=1)</f>
        <v/>
      </c>
      <c r="AB24" s="41">
        <f>IF(Y24=1,"Decline",IF(Z24=1,"Ask Broker",IF(AA24&gt;0,"Refer","Quote")))</f>
        <v/>
      </c>
      <c r="AC24" s="33" t="inlineStr">
        <is>
          <t>Sec 10</t>
        </is>
      </c>
      <c r="AD24" s="33" t="inlineStr">
        <is>
          <t>Section 10 per granite_ridge_routing_notes.txt: Campus Edge student-housing insured; GRP-APPETITE review must be submitted before bind, no CUO clearance memo in file package (judgment: treated as mandatory pre-bind review = Refer per Section 2). Source: granite_ridge_renewal_accounts.csv, granite_ridge_routing_notes.txt.</t>
        </is>
      </c>
    </row>
    <row r="25" ht="23.85" customHeight="1" s="23">
      <c r="A25" s="36" t="inlineStr">
        <is>
          <t>GR-2068</t>
        </is>
      </c>
      <c r="B25" s="36" t="inlineStr">
        <is>
          <t>Westchester Court LLC</t>
        </is>
      </c>
      <c r="C25" s="36" t="inlineStr">
        <is>
          <t>IL</t>
        </is>
      </c>
      <c r="D25" s="37" t="n">
        <v>84020.88</v>
      </c>
      <c r="E25" s="36" t="inlineStr">
        <is>
          <t>Quoted</t>
        </is>
      </c>
      <c r="F25" s="36" t="inlineStr">
        <is>
          <t>Y</t>
        </is>
      </c>
      <c r="G25" s="36" t="n">
        <v>77</v>
      </c>
      <c r="H25" s="36">
        <f>SUMIFS(Src_Locations!$F$2:$F$76,Src_Locations!$B$2:$B$76,A25)</f>
        <v/>
      </c>
      <c r="I25" s="38">
        <f>ABS(G25-H25)/G25</f>
        <v/>
      </c>
      <c r="J25" s="39" t="n">
        <v>17390496</v>
      </c>
      <c r="K25" s="39">
        <f>SUMIFS(Src_Locations!$E$2:$E$76,Src_Locations!$B$2:$B$76,A25)</f>
        <v/>
      </c>
      <c r="L25" s="38">
        <f>ABS(J25-K25)/J25</f>
        <v/>
      </c>
      <c r="M25" s="36">
        <f>COUNTIF(Src_Locations!$B$2:$B$76,A25)</f>
        <v/>
      </c>
      <c r="N25" s="36">
        <f>COUNTIFS(Src_Locations!$B$2:$B$76,A25,Src_Locations!$G$2:$G$76,"&gt;0")</f>
        <v/>
      </c>
      <c r="O25" s="36" t="inlineStr">
        <is>
          <t>Y</t>
        </is>
      </c>
      <c r="P25" s="36">
        <f>SUMIFS(Src_Locations!$P$2:$P$76,Src_Locations!$B$2:$B$76,A25)</f>
        <v/>
      </c>
      <c r="Q25" s="36">
        <f>COUNTIFS(Src_Locations!$B$2:$B$76,A25,Src_Locations!$L$2:$L$76,"pending_fence_po")</f>
        <v/>
      </c>
      <c r="R25" s="36">
        <f>COUNTIFS(Src_Locations!$B$2:$B$76,A25,Src_Locations!$I$2:$I$76,"Y")</f>
        <v/>
      </c>
      <c r="S25" s="36">
        <f>SUMIFS(Src_Locations!$R$2:$R$76,Src_Locations!$B$2:$B$76,A25)</f>
        <v/>
      </c>
      <c r="T25" s="40" t="n">
        <v>0.957</v>
      </c>
      <c r="U25" s="40" t="n">
        <v>0.211</v>
      </c>
      <c r="V25" s="40">
        <f>SUMIFS(Src_LossRun!$J$2:$J$43,Src_LossRun!$C$2:$C$43,A25)/D25</f>
        <v/>
      </c>
      <c r="W25" s="39">
        <f>_xlfn.MAXIFS(Src_Locations!$Q$2:$Q$76,Src_Locations!$B$2:$B$76,A25)</f>
        <v/>
      </c>
      <c r="X25" s="36">
        <f>IF(B25="Campus Edge Housing Co.",1,0)</f>
        <v/>
      </c>
      <c r="Y25" s="36">
        <f>IF(V25&gt;=Executive_Summary!$C$8,1,0)</f>
        <v/>
      </c>
      <c r="Z25" s="36">
        <f>IF(S25&gt;0,1,0)</f>
        <v/>
      </c>
      <c r="AA25" s="36">
        <f>(V25&gt;=Executive_Summary!$C$9)+(W25&gt;=Executive_Summary!$C$10)+(I25&gt;Executive_Summary!$C$11)+(L25&gt;Executive_Summary!$C$12)+(P25&gt;0)+(Q25&gt;0)+(N25&gt;0)+(X25=1)</f>
        <v/>
      </c>
      <c r="AB25" s="41">
        <f>IF(Y25=1,"Decline",IF(Z25=1,"Ask Broker",IF(AA25&gt;0,"Refer","Quote")))</f>
        <v/>
      </c>
      <c r="AC25" s="33" t="inlineStr">
        <is>
          <t>Sec 6</t>
        </is>
      </c>
      <c r="AD25" s="33" t="inlineStr">
        <is>
          <t>Section 6: HAB-2068-B has 18 subsidized units; endorsement documentation required (granite_ridge_location_schedule.csv; queue GRP-SUB-HAB).</t>
        </is>
      </c>
    </row>
    <row r="26" ht="23.85" customHeight="1" s="23">
      <c r="A26" s="36" t="inlineStr">
        <is>
          <t>GR-2071</t>
        </is>
      </c>
      <c r="B26" s="36" t="inlineStr">
        <is>
          <t>Buckeye Garden Apts LLC</t>
        </is>
      </c>
      <c r="C26" s="36" t="inlineStr">
        <is>
          <t>MO</t>
        </is>
      </c>
      <c r="D26" s="37" t="n">
        <v>49959.06</v>
      </c>
      <c r="E26" s="36" t="inlineStr">
        <is>
          <t>Quoted</t>
        </is>
      </c>
      <c r="F26" s="36" t="inlineStr">
        <is>
          <t>Y</t>
        </is>
      </c>
      <c r="G26" s="36" t="n">
        <v>104</v>
      </c>
      <c r="H26" s="36">
        <f>SUMIFS(Src_Locations!$F$2:$F$76,Src_Locations!$B$2:$B$76,A26)</f>
        <v/>
      </c>
      <c r="I26" s="38">
        <f>ABS(G26-H26)/G26</f>
        <v/>
      </c>
      <c r="J26" s="39" t="n">
        <v>9120000</v>
      </c>
      <c r="K26" s="39">
        <f>SUMIFS(Src_Locations!$E$2:$E$76,Src_Locations!$B$2:$B$76,A26)</f>
        <v/>
      </c>
      <c r="L26" s="38">
        <f>ABS(J26-K26)/J26</f>
        <v/>
      </c>
      <c r="M26" s="36">
        <f>COUNTIF(Src_Locations!$B$2:$B$76,A26)</f>
        <v/>
      </c>
      <c r="N26" s="36">
        <f>COUNTIFS(Src_Locations!$B$2:$B$76,A26,Src_Locations!$G$2:$G$76,"&gt;0")</f>
        <v/>
      </c>
      <c r="O26" s="36" t="inlineStr">
        <is>
          <t>N</t>
        </is>
      </c>
      <c r="P26" s="36">
        <f>SUMIFS(Src_Locations!$P$2:$P$76,Src_Locations!$B$2:$B$76,A26)</f>
        <v/>
      </c>
      <c r="Q26" s="36">
        <f>COUNTIFS(Src_Locations!$B$2:$B$76,A26,Src_Locations!$L$2:$L$76,"pending_fence_po")</f>
        <v/>
      </c>
      <c r="R26" s="36">
        <f>COUNTIFS(Src_Locations!$B$2:$B$76,A26,Src_Locations!$I$2:$I$76,"Y")</f>
        <v/>
      </c>
      <c r="S26" s="36">
        <f>SUMIFS(Src_Locations!$R$2:$R$76,Src_Locations!$B$2:$B$76,A26)</f>
        <v/>
      </c>
      <c r="T26" s="40" t="n">
        <v>0.951</v>
      </c>
      <c r="U26" s="40" t="n">
        <v>0.148</v>
      </c>
      <c r="V26" s="40">
        <f>SUMIFS(Src_LossRun!$J$2:$J$43,Src_LossRun!$C$2:$C$43,A26)/D26</f>
        <v/>
      </c>
      <c r="W26" s="39">
        <f>_xlfn.MAXIFS(Src_Locations!$Q$2:$Q$76,Src_Locations!$B$2:$B$76,A26)</f>
        <v/>
      </c>
      <c r="X26" s="36">
        <f>IF(B26="Campus Edge Housing Co.",1,0)</f>
        <v/>
      </c>
      <c r="Y26" s="36">
        <f>IF(V26&gt;=Executive_Summary!$C$8,1,0)</f>
        <v/>
      </c>
      <c r="Z26" s="36">
        <f>IF(S26&gt;0,1,0)</f>
        <v/>
      </c>
      <c r="AA26" s="36">
        <f>(V26&gt;=Executive_Summary!$C$9)+(W26&gt;=Executive_Summary!$C$10)+(I26&gt;Executive_Summary!$C$11)+(L26&gt;Executive_Summary!$C$12)+(P26&gt;0)+(Q26&gt;0)+(N26&gt;0)+(X26=1)</f>
        <v/>
      </c>
      <c r="AB26" s="41">
        <f>IF(Y26=1,"Decline",IF(Z26=1,"Ask Broker",IF(AA26&gt;0,"Refer","Quote")))</f>
        <v/>
      </c>
      <c r="AC26" s="33" t="inlineStr">
        <is>
          <t>Sec 9</t>
        </is>
      </c>
      <c r="AD26" s="33" t="inlineStr">
        <is>
          <t>Quote: CAT-2408 loss ($284,600) excluded per Section 9 (default exclusion; CUO memo GRP-CAT-2025-03 not in file package); attritional LR 9.6%, no other trigger (granite_ridge_routing_notes.txt).</t>
        </is>
      </c>
    </row>
    <row r="27" ht="23.85" customHeight="1" s="23">
      <c r="A27" s="36" t="inlineStr">
        <is>
          <t>GR-2074</t>
        </is>
      </c>
      <c r="B27" s="36" t="inlineStr">
        <is>
          <t>Yorktown Flats LLC</t>
        </is>
      </c>
      <c r="C27" s="36" t="inlineStr">
        <is>
          <t>OH</t>
        </is>
      </c>
      <c r="D27" s="37" t="n">
        <v>61833.36</v>
      </c>
      <c r="E27" s="36" t="inlineStr">
        <is>
          <t>Quoted</t>
        </is>
      </c>
      <c r="F27" s="36" t="inlineStr">
        <is>
          <t>Y</t>
        </is>
      </c>
      <c r="G27" s="36" t="n">
        <v>54</v>
      </c>
      <c r="H27" s="36">
        <f>SUMIFS(Src_Locations!$F$2:$F$76,Src_Locations!$B$2:$B$76,A27)</f>
        <v/>
      </c>
      <c r="I27" s="38">
        <f>ABS(G27-H27)/G27</f>
        <v/>
      </c>
      <c r="J27" s="39" t="n">
        <v>14238003</v>
      </c>
      <c r="K27" s="39">
        <f>SUMIFS(Src_Locations!$E$2:$E$76,Src_Locations!$B$2:$B$76,A27)</f>
        <v/>
      </c>
      <c r="L27" s="38">
        <f>ABS(J27-K27)/J27</f>
        <v/>
      </c>
      <c r="M27" s="36">
        <f>COUNTIF(Src_Locations!$B$2:$B$76,A27)</f>
        <v/>
      </c>
      <c r="N27" s="36">
        <f>COUNTIFS(Src_Locations!$B$2:$B$76,A27,Src_Locations!$G$2:$G$76,"&gt;0")</f>
        <v/>
      </c>
      <c r="O27" s="36" t="inlineStr">
        <is>
          <t>N</t>
        </is>
      </c>
      <c r="P27" s="36">
        <f>SUMIFS(Src_Locations!$P$2:$P$76,Src_Locations!$B$2:$B$76,A27)</f>
        <v/>
      </c>
      <c r="Q27" s="36">
        <f>COUNTIFS(Src_Locations!$B$2:$B$76,A27,Src_Locations!$L$2:$L$76,"pending_fence_po")</f>
        <v/>
      </c>
      <c r="R27" s="36">
        <f>COUNTIFS(Src_Locations!$B$2:$B$76,A27,Src_Locations!$I$2:$I$76,"Y")</f>
        <v/>
      </c>
      <c r="S27" s="36">
        <f>SUMIFS(Src_Locations!$R$2:$R$76,Src_Locations!$B$2:$B$76,A27)</f>
        <v/>
      </c>
      <c r="T27" s="40" t="n">
        <v>0.9379999999999999</v>
      </c>
      <c r="U27" s="40" t="n">
        <v>0.253</v>
      </c>
      <c r="V27" s="40">
        <f>SUMIFS(Src_LossRun!$J$2:$J$43,Src_LossRun!$C$2:$C$43,A27)/D27</f>
        <v/>
      </c>
      <c r="W27" s="39">
        <f>_xlfn.MAXIFS(Src_Locations!$Q$2:$Q$76,Src_Locations!$B$2:$B$76,A27)</f>
        <v/>
      </c>
      <c r="X27" s="36">
        <f>IF(B27="Campus Edge Housing Co.",1,0)</f>
        <v/>
      </c>
      <c r="Y27" s="36">
        <f>IF(V27&gt;=Executive_Summary!$C$8,1,0)</f>
        <v/>
      </c>
      <c r="Z27" s="36">
        <f>IF(S27&gt;0,1,0)</f>
        <v/>
      </c>
      <c r="AA27" s="36">
        <f>(V27&gt;=Executive_Summary!$C$9)+(W27&gt;=Executive_Summary!$C$10)+(I27&gt;Executive_Summary!$C$11)+(L27&gt;Executive_Summary!$C$12)+(P27&gt;0)+(Q27&gt;0)+(N27&gt;0)+(X27=1)</f>
        <v/>
      </c>
      <c r="AB27" s="41">
        <f>IF(Y27=1,"Decline",IF(Z27=1,"Ask Broker",IF(AA27&gt;0,"Refer","Quote")))</f>
        <v/>
      </c>
      <c r="AC27" s="33" t="inlineStr">
        <is>
          <t>Sec 5</t>
        </is>
      </c>
      <c r="AD27" s="33" t="inlineStr">
        <is>
          <t>Section 5: HAB-2074-A pool_liability_flag=pending_fence_po; no completion evidence (granite_ridge_location_schedule.csv).</t>
        </is>
      </c>
    </row>
    <row r="28" ht="23.85" customHeight="1" s="23">
      <c r="A28" s="36" t="inlineStr">
        <is>
          <t>GR-2077</t>
        </is>
      </c>
      <c r="B28" s="36" t="inlineStr">
        <is>
          <t>Zion Road Residences</t>
        </is>
      </c>
      <c r="C28" s="36" t="inlineStr">
        <is>
          <t>IA</t>
        </is>
      </c>
      <c r="D28" s="37" t="n">
        <v>74207.07000000001</v>
      </c>
      <c r="E28" s="36" t="inlineStr">
        <is>
          <t>Quoted</t>
        </is>
      </c>
      <c r="F28" s="36" t="inlineStr">
        <is>
          <t>Y</t>
        </is>
      </c>
      <c r="G28" s="36" t="n">
        <v>160</v>
      </c>
      <c r="H28" s="36">
        <f>SUMIFS(Src_Locations!$F$2:$F$76,Src_Locations!$B$2:$B$76,A28)</f>
        <v/>
      </c>
      <c r="I28" s="38">
        <f>ABS(G28-H28)/G28</f>
        <v/>
      </c>
      <c r="J28" s="39" t="n">
        <v>11919614</v>
      </c>
      <c r="K28" s="39">
        <f>SUMIFS(Src_Locations!$E$2:$E$76,Src_Locations!$B$2:$B$76,A28)</f>
        <v/>
      </c>
      <c r="L28" s="38">
        <f>ABS(J28-K28)/J28</f>
        <v/>
      </c>
      <c r="M28" s="36">
        <f>COUNTIF(Src_Locations!$B$2:$B$76,A28)</f>
        <v/>
      </c>
      <c r="N28" s="36">
        <f>COUNTIFS(Src_Locations!$B$2:$B$76,A28,Src_Locations!$G$2:$G$76,"&gt;0")</f>
        <v/>
      </c>
      <c r="O28" s="36" t="inlineStr">
        <is>
          <t>N</t>
        </is>
      </c>
      <c r="P28" s="36">
        <f>SUMIFS(Src_Locations!$P$2:$P$76,Src_Locations!$B$2:$B$76,A28)</f>
        <v/>
      </c>
      <c r="Q28" s="36">
        <f>COUNTIFS(Src_Locations!$B$2:$B$76,A28,Src_Locations!$L$2:$L$76,"pending_fence_po")</f>
        <v/>
      </c>
      <c r="R28" s="36">
        <f>COUNTIFS(Src_Locations!$B$2:$B$76,A28,Src_Locations!$I$2:$I$76,"Y")</f>
        <v/>
      </c>
      <c r="S28" s="36">
        <f>SUMIFS(Src_Locations!$R$2:$R$76,Src_Locations!$B$2:$B$76,A28)</f>
        <v/>
      </c>
      <c r="T28" s="40" t="n">
        <v>0.978</v>
      </c>
      <c r="U28" s="40" t="n">
        <v>0.155</v>
      </c>
      <c r="V28" s="40">
        <f>SUMIFS(Src_LossRun!$J$2:$J$43,Src_LossRun!$C$2:$C$43,A28)/D28</f>
        <v/>
      </c>
      <c r="W28" s="39">
        <f>_xlfn.MAXIFS(Src_Locations!$Q$2:$Q$76,Src_Locations!$B$2:$B$76,A28)</f>
        <v/>
      </c>
      <c r="X28" s="36">
        <f>IF(B28="Campus Edge Housing Co.",1,0)</f>
        <v/>
      </c>
      <c r="Y28" s="36">
        <f>IF(V28&gt;=Executive_Summary!$C$8,1,0)</f>
        <v/>
      </c>
      <c r="Z28" s="36">
        <f>IF(S28&gt;0,1,0)</f>
        <v/>
      </c>
      <c r="AA28" s="36">
        <f>(V28&gt;=Executive_Summary!$C$9)+(W28&gt;=Executive_Summary!$C$10)+(I28&gt;Executive_Summary!$C$11)+(L28&gt;Executive_Summary!$C$12)+(P28&gt;0)+(Q28&gt;0)+(N28&gt;0)+(X28=1)</f>
        <v/>
      </c>
      <c r="AB28" s="41">
        <f>IF(Y28=1,"Decline",IF(Z28=1,"Ask Broker",IF(AA28&gt;0,"Refer","Quote")))</f>
        <v/>
      </c>
      <c r="AC28" s="33" t="inlineStr">
        <is>
          <t>Sec 3-6</t>
        </is>
      </c>
      <c r="AD28" s="33" t="inlineStr">
        <is>
          <t>Recomputed LR 25.5%, well under Section 3 thresholds. Location schedule reconciles within tolerance. Inspections current. Quote per granite_ridge_routing_notes.txt.</t>
        </is>
      </c>
    </row>
    <row r="29" ht="23.85" customHeight="1" s="23">
      <c r="A29" s="36" t="inlineStr">
        <is>
          <t>GR-2080</t>
        </is>
      </c>
      <c r="B29" s="36" t="inlineStr">
        <is>
          <t>Archer Avenue Apts LLC</t>
        </is>
      </c>
      <c r="C29" s="36" t="inlineStr">
        <is>
          <t>IL</t>
        </is>
      </c>
      <c r="D29" s="37" t="n">
        <v>83442.5</v>
      </c>
      <c r="E29" s="36" t="inlineStr">
        <is>
          <t>Quoted</t>
        </is>
      </c>
      <c r="F29" s="36" t="inlineStr">
        <is>
          <t>Y</t>
        </is>
      </c>
      <c r="G29" s="36" t="n">
        <v>74</v>
      </c>
      <c r="H29" s="36">
        <f>SUMIFS(Src_Locations!$F$2:$F$76,Src_Locations!$B$2:$B$76,A29)</f>
        <v/>
      </c>
      <c r="I29" s="38">
        <f>ABS(G29-H29)/G29</f>
        <v/>
      </c>
      <c r="J29" s="39" t="n">
        <v>13067392</v>
      </c>
      <c r="K29" s="39">
        <f>SUMIFS(Src_Locations!$E$2:$E$76,Src_Locations!$B$2:$B$76,A29)</f>
        <v/>
      </c>
      <c r="L29" s="38">
        <f>ABS(J29-K29)/J29</f>
        <v/>
      </c>
      <c r="M29" s="36">
        <f>COUNTIF(Src_Locations!$B$2:$B$76,A29)</f>
        <v/>
      </c>
      <c r="N29" s="36">
        <f>COUNTIFS(Src_Locations!$B$2:$B$76,A29,Src_Locations!$G$2:$G$76,"&gt;0")</f>
        <v/>
      </c>
      <c r="O29" s="36" t="inlineStr">
        <is>
          <t>N</t>
        </is>
      </c>
      <c r="P29" s="36">
        <f>SUMIFS(Src_Locations!$P$2:$P$76,Src_Locations!$B$2:$B$76,A29)</f>
        <v/>
      </c>
      <c r="Q29" s="36">
        <f>COUNTIFS(Src_Locations!$B$2:$B$76,A29,Src_Locations!$L$2:$L$76,"pending_fence_po")</f>
        <v/>
      </c>
      <c r="R29" s="36">
        <f>COUNTIFS(Src_Locations!$B$2:$B$76,A29,Src_Locations!$I$2:$I$76,"Y")</f>
        <v/>
      </c>
      <c r="S29" s="36">
        <f>SUMIFS(Src_Locations!$R$2:$R$76,Src_Locations!$B$2:$B$76,A29)</f>
        <v/>
      </c>
      <c r="T29" s="40" t="n">
        <v>0.974</v>
      </c>
      <c r="U29" s="40" t="n">
        <v>0.149</v>
      </c>
      <c r="V29" s="40">
        <f>SUMIFS(Src_LossRun!$J$2:$J$43,Src_LossRun!$C$2:$C$43,A29)/D29</f>
        <v/>
      </c>
      <c r="W29" s="39">
        <f>_xlfn.MAXIFS(Src_Locations!$Q$2:$Q$76,Src_Locations!$B$2:$B$76,A29)</f>
        <v/>
      </c>
      <c r="X29" s="36">
        <f>IF(B29="Campus Edge Housing Co.",1,0)</f>
        <v/>
      </c>
      <c r="Y29" s="36">
        <f>IF(V29&gt;=Executive_Summary!$C$8,1,0)</f>
        <v/>
      </c>
      <c r="Z29" s="36">
        <f>IF(S29&gt;0,1,0)</f>
        <v/>
      </c>
      <c r="AA29" s="36">
        <f>(V29&gt;=Executive_Summary!$C$9)+(W29&gt;=Executive_Summary!$C$10)+(I29&gt;Executive_Summary!$C$11)+(L29&gt;Executive_Summary!$C$12)+(P29&gt;0)+(Q29&gt;0)+(N29&gt;0)+(X29=1)</f>
        <v/>
      </c>
      <c r="AB29" s="41">
        <f>IF(Y29=1,"Decline",IF(Z29=1,"Ask Broker",IF(AA29&gt;0,"Refer","Quote")))</f>
        <v/>
      </c>
      <c r="AC29" s="33" t="inlineStr">
        <is>
          <t>Sec 3-6</t>
        </is>
      </c>
      <c r="AD29" s="33" t="inlineStr">
        <is>
          <t>LR 12.6% — no loss trigger. Unit count and TIV tie within thresholds. Life-safety current. No subsidy or pool flags. Quote per granite_ridge_routing_notes.txt.</t>
        </is>
      </c>
    </row>
    <row r="30" ht="23.85" customHeight="1" s="23">
      <c r="A30" s="36" t="inlineStr">
        <is>
          <t>GR-2083</t>
        </is>
      </c>
      <c r="B30" s="36" t="inlineStr">
        <is>
          <t>Belmont Court Partners</t>
        </is>
      </c>
      <c r="C30" s="36" t="inlineStr">
        <is>
          <t>MI</t>
        </is>
      </c>
      <c r="D30" s="37" t="n">
        <v>77606.69</v>
      </c>
      <c r="E30" s="36" t="inlineStr">
        <is>
          <t>Quoted</t>
        </is>
      </c>
      <c r="F30" s="36" t="inlineStr">
        <is>
          <t>Y</t>
        </is>
      </c>
      <c r="G30" s="36" t="n">
        <v>177</v>
      </c>
      <c r="H30" s="36">
        <f>SUMIFS(Src_Locations!$F$2:$F$76,Src_Locations!$B$2:$B$76,A30)</f>
        <v/>
      </c>
      <c r="I30" s="38">
        <f>ABS(G30-H30)/G30</f>
        <v/>
      </c>
      <c r="J30" s="39" t="n">
        <v>12526182</v>
      </c>
      <c r="K30" s="39">
        <f>SUMIFS(Src_Locations!$E$2:$E$76,Src_Locations!$B$2:$B$76,A30)</f>
        <v/>
      </c>
      <c r="L30" s="38">
        <f>ABS(J30-K30)/J30</f>
        <v/>
      </c>
      <c r="M30" s="36">
        <f>COUNTIF(Src_Locations!$B$2:$B$76,A30)</f>
        <v/>
      </c>
      <c r="N30" s="36">
        <f>COUNTIFS(Src_Locations!$B$2:$B$76,A30,Src_Locations!$G$2:$G$76,"&gt;0")</f>
        <v/>
      </c>
      <c r="O30" s="36" t="inlineStr">
        <is>
          <t>N</t>
        </is>
      </c>
      <c r="P30" s="36">
        <f>SUMIFS(Src_Locations!$P$2:$P$76,Src_Locations!$B$2:$B$76,A30)</f>
        <v/>
      </c>
      <c r="Q30" s="36">
        <f>COUNTIFS(Src_Locations!$B$2:$B$76,A30,Src_Locations!$L$2:$L$76,"pending_fence_po")</f>
        <v/>
      </c>
      <c r="R30" s="36">
        <f>COUNTIFS(Src_Locations!$B$2:$B$76,A30,Src_Locations!$I$2:$I$76,"Y")</f>
        <v/>
      </c>
      <c r="S30" s="36">
        <f>SUMIFS(Src_Locations!$R$2:$R$76,Src_Locations!$B$2:$B$76,A30)</f>
        <v/>
      </c>
      <c r="T30" s="40" t="n">
        <v>0.9330000000000001</v>
      </c>
      <c r="U30" s="40" t="n">
        <v>0.284</v>
      </c>
      <c r="V30" s="40">
        <f>SUMIFS(Src_LossRun!$J$2:$J$43,Src_LossRun!$C$2:$C$43,A30)/D30</f>
        <v/>
      </c>
      <c r="W30" s="39">
        <f>_xlfn.MAXIFS(Src_Locations!$Q$2:$Q$76,Src_Locations!$B$2:$B$76,A30)</f>
        <v/>
      </c>
      <c r="X30" s="36">
        <f>IF(B30="Campus Edge Housing Co.",1,0)</f>
        <v/>
      </c>
      <c r="Y30" s="36">
        <f>IF(V30&gt;=Executive_Summary!$C$8,1,0)</f>
        <v/>
      </c>
      <c r="Z30" s="36">
        <f>IF(S30&gt;0,1,0)</f>
        <v/>
      </c>
      <c r="AA30" s="36">
        <f>(V30&gt;=Executive_Summary!$C$9)+(W30&gt;=Executive_Summary!$C$10)+(I30&gt;Executive_Summary!$C$11)+(L30&gt;Executive_Summary!$C$12)+(P30&gt;0)+(Q30&gt;0)+(N30&gt;0)+(X30=1)</f>
        <v/>
      </c>
      <c r="AB30" s="41">
        <f>IF(Y30=1,"Decline",IF(Z30=1,"Ask Broker",IF(AA30&gt;0,"Refer","Quote")))</f>
        <v/>
      </c>
      <c r="AC30" s="33" t="inlineStr">
        <is>
          <t>Sec 3-6</t>
        </is>
      </c>
      <c r="AD30" s="33" t="inlineStr">
        <is>
          <t>Section 3 LR 10.3% is below 45%. Schedule reconciliation, inspections, subsidized-housing check, and pool check all clear. Quote per granite_ridge_routing_notes.txt.</t>
        </is>
      </c>
    </row>
    <row r="31" ht="23.85" customHeight="1" s="23">
      <c r="A31" s="36" t="inlineStr">
        <is>
          <t>GR-2086</t>
        </is>
      </c>
      <c r="B31" s="36" t="inlineStr">
        <is>
          <t>Cermak Place LLC</t>
        </is>
      </c>
      <c r="C31" s="36" t="inlineStr">
        <is>
          <t>MN</t>
        </is>
      </c>
      <c r="D31" s="37" t="n">
        <v>93807.95</v>
      </c>
      <c r="E31" s="36" t="inlineStr">
        <is>
          <t>Quoted</t>
        </is>
      </c>
      <c r="F31" s="36" t="inlineStr">
        <is>
          <t>Y</t>
        </is>
      </c>
      <c r="G31" s="36" t="n">
        <v>52</v>
      </c>
      <c r="H31" s="36">
        <f>SUMIFS(Src_Locations!$F$2:$F$76,Src_Locations!$B$2:$B$76,A31)</f>
        <v/>
      </c>
      <c r="I31" s="38">
        <f>ABS(G31-H31)/G31</f>
        <v/>
      </c>
      <c r="J31" s="39" t="n">
        <v>12292897</v>
      </c>
      <c r="K31" s="39">
        <f>SUMIFS(Src_Locations!$E$2:$E$76,Src_Locations!$B$2:$B$76,A31)</f>
        <v/>
      </c>
      <c r="L31" s="38">
        <f>ABS(J31-K31)/J31</f>
        <v/>
      </c>
      <c r="M31" s="36">
        <f>COUNTIF(Src_Locations!$B$2:$B$76,A31)</f>
        <v/>
      </c>
      <c r="N31" s="36">
        <f>COUNTIFS(Src_Locations!$B$2:$B$76,A31,Src_Locations!$G$2:$G$76,"&gt;0")</f>
        <v/>
      </c>
      <c r="O31" s="36" t="inlineStr">
        <is>
          <t>N</t>
        </is>
      </c>
      <c r="P31" s="36">
        <f>SUMIFS(Src_Locations!$P$2:$P$76,Src_Locations!$B$2:$B$76,A31)</f>
        <v/>
      </c>
      <c r="Q31" s="36">
        <f>COUNTIFS(Src_Locations!$B$2:$B$76,A31,Src_Locations!$L$2:$L$76,"pending_fence_po")</f>
        <v/>
      </c>
      <c r="R31" s="36">
        <f>COUNTIFS(Src_Locations!$B$2:$B$76,A31,Src_Locations!$I$2:$I$76,"Y")</f>
        <v/>
      </c>
      <c r="S31" s="36">
        <f>SUMIFS(Src_Locations!$R$2:$R$76,Src_Locations!$B$2:$B$76,A31)</f>
        <v/>
      </c>
      <c r="T31" s="40" t="n">
        <v>0.961</v>
      </c>
      <c r="U31" s="40" t="n">
        <v>0.161</v>
      </c>
      <c r="V31" s="40">
        <f>SUMIFS(Src_LossRun!$J$2:$J$43,Src_LossRun!$C$2:$C$43,A31)/D31</f>
        <v/>
      </c>
      <c r="W31" s="39">
        <f>_xlfn.MAXIFS(Src_Locations!$Q$2:$Q$76,Src_Locations!$B$2:$B$76,A31)</f>
        <v/>
      </c>
      <c r="X31" s="36">
        <f>IF(B31="Campus Edge Housing Co.",1,0)</f>
        <v/>
      </c>
      <c r="Y31" s="36">
        <f>IF(V31&gt;=Executive_Summary!$C$8,1,0)</f>
        <v/>
      </c>
      <c r="Z31" s="36">
        <f>IF(S31&gt;0,1,0)</f>
        <v/>
      </c>
      <c r="AA31" s="36">
        <f>(V31&gt;=Executive_Summary!$C$9)+(W31&gt;=Executive_Summary!$C$10)+(I31&gt;Executive_Summary!$C$11)+(L31&gt;Executive_Summary!$C$12)+(P31&gt;0)+(Q31&gt;0)+(N31&gt;0)+(X31=1)</f>
        <v/>
      </c>
      <c r="AB31" s="41">
        <f>IF(Y31=1,"Decline",IF(Z31=1,"Ask Broker",IF(AA31&gt;0,"Refer","Quote")))</f>
        <v/>
      </c>
      <c r="AC31" s="33" t="inlineStr">
        <is>
          <t>Sec 3-6</t>
        </is>
      </c>
      <c r="AD31" s="33" t="inlineStr">
        <is>
          <t>LR 27.1% — no loss trigger. Unit count and TIV tie within thresholds. Life-safety current. No subsidy or pool flags. Quote per granite_ridge_routing_notes.txt.</t>
        </is>
      </c>
    </row>
    <row r="32" ht="23.85" customHeight="1" s="23">
      <c r="A32" s="36" t="inlineStr">
        <is>
          <t>GR-2089</t>
        </is>
      </c>
      <c r="B32" s="36" t="inlineStr">
        <is>
          <t>Devonshire Arms LLC</t>
        </is>
      </c>
      <c r="C32" s="36" t="inlineStr">
        <is>
          <t>MN</t>
        </is>
      </c>
      <c r="D32" s="37" t="n">
        <v>67380</v>
      </c>
      <c r="E32" s="36" t="inlineStr">
        <is>
          <t>Renewal Ready</t>
        </is>
      </c>
      <c r="F32" s="36" t="inlineStr">
        <is>
          <t>Y</t>
        </is>
      </c>
      <c r="G32" s="36" t="n">
        <v>96</v>
      </c>
      <c r="H32" s="36">
        <f>SUMIFS(Src_Locations!$F$2:$F$76,Src_Locations!$B$2:$B$76,A32)</f>
        <v/>
      </c>
      <c r="I32" s="38">
        <f>ABS(G32-H32)/G32</f>
        <v/>
      </c>
      <c r="J32" s="39" t="n">
        <v>8960000</v>
      </c>
      <c r="K32" s="39">
        <f>SUMIFS(Src_Locations!$E$2:$E$76,Src_Locations!$B$2:$B$76,A32)</f>
        <v/>
      </c>
      <c r="L32" s="38">
        <f>ABS(J32-K32)/J32</f>
        <v/>
      </c>
      <c r="M32" s="36">
        <f>COUNTIF(Src_Locations!$B$2:$B$76,A32)</f>
        <v/>
      </c>
      <c r="N32" s="36">
        <f>COUNTIFS(Src_Locations!$B$2:$B$76,A32,Src_Locations!$G$2:$G$76,"&gt;0")</f>
        <v/>
      </c>
      <c r="O32" s="36" t="inlineStr">
        <is>
          <t>N</t>
        </is>
      </c>
      <c r="P32" s="36">
        <f>SUMIFS(Src_Locations!$P$2:$P$76,Src_Locations!$B$2:$B$76,A32)</f>
        <v/>
      </c>
      <c r="Q32" s="36">
        <f>COUNTIFS(Src_Locations!$B$2:$B$76,A32,Src_Locations!$L$2:$L$76,"pending_fence_po")</f>
        <v/>
      </c>
      <c r="R32" s="36">
        <f>COUNTIFS(Src_Locations!$B$2:$B$76,A32,Src_Locations!$I$2:$I$76,"Y")</f>
        <v/>
      </c>
      <c r="S32" s="36">
        <f>SUMIFS(Src_Locations!$R$2:$R$76,Src_Locations!$B$2:$B$76,A32)</f>
        <v/>
      </c>
      <c r="T32" s="40" t="n">
        <v>0.958</v>
      </c>
      <c r="U32" s="40" t="n">
        <v>0.247</v>
      </c>
      <c r="V32" s="40">
        <f>SUMIFS(Src_LossRun!$J$2:$J$43,Src_LossRun!$C$2:$C$43,A32)/D32</f>
        <v/>
      </c>
      <c r="W32" s="39">
        <f>_xlfn.MAXIFS(Src_Locations!$Q$2:$Q$76,Src_Locations!$B$2:$B$76,A32)</f>
        <v/>
      </c>
      <c r="X32" s="36">
        <f>IF(B32="Campus Edge Housing Co.",1,0)</f>
        <v/>
      </c>
      <c r="Y32" s="36">
        <f>IF(V32&gt;=Executive_Summary!$C$8,1,0)</f>
        <v/>
      </c>
      <c r="Z32" s="36">
        <f>IF(S32&gt;0,1,0)</f>
        <v/>
      </c>
      <c r="AA32" s="36">
        <f>(V32&gt;=Executive_Summary!$C$9)+(W32&gt;=Executive_Summary!$C$10)+(I32&gt;Executive_Summary!$C$11)+(L32&gt;Executive_Summary!$C$12)+(P32&gt;0)+(Q32&gt;0)+(N32&gt;0)+(X32=1)</f>
        <v/>
      </c>
      <c r="AB32" s="41">
        <f>IF(Y32=1,"Decline",IF(Z32=1,"Ask Broker",IF(AA32&gt;0,"Refer","Quote")))</f>
        <v/>
      </c>
      <c r="AC32" s="33" t="inlineStr">
        <is>
          <t>Sec 5</t>
        </is>
      </c>
      <c r="AD32" s="33" t="inlineStr">
        <is>
          <t>Section 5: HAB-2089-A sprinkler and fire alarm inspections dated 2025-04-02, more than 30 days before 10/1/2025, no renewed certificate in file (granite_ridge_location_schedule.csv).</t>
        </is>
      </c>
    </row>
    <row r="33" ht="23.85" customHeight="1" s="23">
      <c r="A33" s="36" t="inlineStr">
        <is>
          <t>GR-2092</t>
        </is>
      </c>
      <c r="B33" s="36" t="inlineStr">
        <is>
          <t>Elston Crossing Apts</t>
        </is>
      </c>
      <c r="C33" s="36" t="inlineStr">
        <is>
          <t>OH</t>
        </is>
      </c>
      <c r="D33" s="37" t="n">
        <v>52150.45</v>
      </c>
      <c r="E33" s="36" t="inlineStr">
        <is>
          <t>Quoted</t>
        </is>
      </c>
      <c r="F33" s="36" t="inlineStr">
        <is>
          <t>Y</t>
        </is>
      </c>
      <c r="G33" s="36" t="n">
        <v>76</v>
      </c>
      <c r="H33" s="36">
        <f>SUMIFS(Src_Locations!$F$2:$F$76,Src_Locations!$B$2:$B$76,A33)</f>
        <v/>
      </c>
      <c r="I33" s="38">
        <f>ABS(G33-H33)/G33</f>
        <v/>
      </c>
      <c r="J33" s="39" t="n">
        <v>14160417</v>
      </c>
      <c r="K33" s="39">
        <f>SUMIFS(Src_Locations!$E$2:$E$76,Src_Locations!$B$2:$B$76,A33)</f>
        <v/>
      </c>
      <c r="L33" s="38">
        <f>ABS(J33-K33)/J33</f>
        <v/>
      </c>
      <c r="M33" s="36">
        <f>COUNTIF(Src_Locations!$B$2:$B$76,A33)</f>
        <v/>
      </c>
      <c r="N33" s="36">
        <f>COUNTIFS(Src_Locations!$B$2:$B$76,A33,Src_Locations!$G$2:$G$76,"&gt;0")</f>
        <v/>
      </c>
      <c r="O33" s="36" t="inlineStr">
        <is>
          <t>Y</t>
        </is>
      </c>
      <c r="P33" s="36">
        <f>SUMIFS(Src_Locations!$P$2:$P$76,Src_Locations!$B$2:$B$76,A33)</f>
        <v/>
      </c>
      <c r="Q33" s="36">
        <f>COUNTIFS(Src_Locations!$B$2:$B$76,A33,Src_Locations!$L$2:$L$76,"pending_fence_po")</f>
        <v/>
      </c>
      <c r="R33" s="36">
        <f>COUNTIFS(Src_Locations!$B$2:$B$76,A33,Src_Locations!$I$2:$I$76,"Y")</f>
        <v/>
      </c>
      <c r="S33" s="36">
        <f>SUMIFS(Src_Locations!$R$2:$R$76,Src_Locations!$B$2:$B$76,A33)</f>
        <v/>
      </c>
      <c r="T33" s="40" t="n">
        <v>0.956</v>
      </c>
      <c r="U33" s="40" t="n">
        <v>0.16</v>
      </c>
      <c r="V33" s="40">
        <f>SUMIFS(Src_LossRun!$J$2:$J$43,Src_LossRun!$C$2:$C$43,A33)/D33</f>
        <v/>
      </c>
      <c r="W33" s="39">
        <f>_xlfn.MAXIFS(Src_Locations!$Q$2:$Q$76,Src_Locations!$B$2:$B$76,A33)</f>
        <v/>
      </c>
      <c r="X33" s="36">
        <f>IF(B33="Campus Edge Housing Co.",1,0)</f>
        <v/>
      </c>
      <c r="Y33" s="36">
        <f>IF(V33&gt;=Executive_Summary!$C$8,1,0)</f>
        <v/>
      </c>
      <c r="Z33" s="36">
        <f>IF(S33&gt;0,1,0)</f>
        <v/>
      </c>
      <c r="AA33" s="36">
        <f>(V33&gt;=Executive_Summary!$C$9)+(W33&gt;=Executive_Summary!$C$10)+(I33&gt;Executive_Summary!$C$11)+(L33&gt;Executive_Summary!$C$12)+(P33&gt;0)+(Q33&gt;0)+(N33&gt;0)+(X33=1)</f>
        <v/>
      </c>
      <c r="AB33" s="41">
        <f>IF(Y33=1,"Decline",IF(Z33=1,"Ask Broker",IF(AA33&gt;0,"Refer","Quote")))</f>
        <v/>
      </c>
      <c r="AC33" s="33" t="inlineStr">
        <is>
          <t>Sec 6</t>
        </is>
      </c>
      <c r="AD33" s="33" t="inlineStr">
        <is>
          <t>Section 6: HAB-2092-A has 22 subsidized units; endorsement documentation required (granite_ridge_location_schedule.csv; queue GRP-SUB-HAB).</t>
        </is>
      </c>
    </row>
    <row r="34" ht="23.85" customHeight="1" s="23">
      <c r="A34" s="36" t="inlineStr">
        <is>
          <t>GR-2113</t>
        </is>
      </c>
      <c r="B34" s="36" t="inlineStr">
        <is>
          <t>Fulton Market Residences</t>
        </is>
      </c>
      <c r="C34" s="36" t="inlineStr">
        <is>
          <t>IL</t>
        </is>
      </c>
      <c r="D34" s="37" t="n">
        <v>78450</v>
      </c>
      <c r="E34" s="36" t="inlineStr">
        <is>
          <t>Quoted</t>
        </is>
      </c>
      <c r="F34" s="36" t="inlineStr">
        <is>
          <t>Y</t>
        </is>
      </c>
      <c r="G34" s="36" t="n">
        <v>142</v>
      </c>
      <c r="H34" s="36">
        <f>SUMIFS(Src_Locations!$F$2:$F$76,Src_Locations!$B$2:$B$76,A34)</f>
        <v/>
      </c>
      <c r="I34" s="38">
        <f>ABS(G34-H34)/G34</f>
        <v/>
      </c>
      <c r="J34" s="39" t="n">
        <v>11840000</v>
      </c>
      <c r="K34" s="39">
        <f>SUMIFS(Src_Locations!$E$2:$E$76,Src_Locations!$B$2:$B$76,A34)</f>
        <v/>
      </c>
      <c r="L34" s="38">
        <f>ABS(J34-K34)/J34</f>
        <v/>
      </c>
      <c r="M34" s="36">
        <f>COUNTIF(Src_Locations!$B$2:$B$76,A34)</f>
        <v/>
      </c>
      <c r="N34" s="36">
        <f>COUNTIFS(Src_Locations!$B$2:$B$76,A34,Src_Locations!$G$2:$G$76,"&gt;0")</f>
        <v/>
      </c>
      <c r="O34" s="36" t="inlineStr">
        <is>
          <t>N</t>
        </is>
      </c>
      <c r="P34" s="36">
        <f>SUMIFS(Src_Locations!$P$2:$P$76,Src_Locations!$B$2:$B$76,A34)</f>
        <v/>
      </c>
      <c r="Q34" s="36">
        <f>COUNTIFS(Src_Locations!$B$2:$B$76,A34,Src_Locations!$L$2:$L$76,"pending_fence_po")</f>
        <v/>
      </c>
      <c r="R34" s="36">
        <f>COUNTIFS(Src_Locations!$B$2:$B$76,A34,Src_Locations!$I$2:$I$76,"Y")</f>
        <v/>
      </c>
      <c r="S34" s="36">
        <f>SUMIFS(Src_Locations!$R$2:$R$76,Src_Locations!$B$2:$B$76,A34)</f>
        <v/>
      </c>
      <c r="T34" s="40" t="n">
        <v>0.961</v>
      </c>
      <c r="U34" s="40" t="n">
        <v>0.284</v>
      </c>
      <c r="V34" s="40">
        <f>SUMIFS(Src_LossRun!$J$2:$J$43,Src_LossRun!$C$2:$C$43,A34)/D34</f>
        <v/>
      </c>
      <c r="W34" s="39">
        <f>_xlfn.MAXIFS(Src_Locations!$Q$2:$Q$76,Src_Locations!$B$2:$B$76,A34)</f>
        <v/>
      </c>
      <c r="X34" s="36">
        <f>IF(B34="Campus Edge Housing Co.",1,0)</f>
        <v/>
      </c>
      <c r="Y34" s="36">
        <f>IF(V34&gt;=Executive_Summary!$C$8,1,0)</f>
        <v/>
      </c>
      <c r="Z34" s="36">
        <f>IF(S34&gt;0,1,0)</f>
        <v/>
      </c>
      <c r="AA34" s="36">
        <f>(V34&gt;=Executive_Summary!$C$9)+(W34&gt;=Executive_Summary!$C$10)+(I34&gt;Executive_Summary!$C$11)+(L34&gt;Executive_Summary!$C$12)+(P34&gt;0)+(Q34&gt;0)+(N34&gt;0)+(X34=1)</f>
        <v/>
      </c>
      <c r="AB34" s="41">
        <f>IF(Y34=1,"Decline",IF(Z34=1,"Ask Broker",IF(AA34&gt;0,"Refer","Quote")))</f>
        <v/>
      </c>
      <c r="AC34" s="33" t="inlineStr">
        <is>
          <t>Sec 4</t>
        </is>
      </c>
      <c r="AD34" s="33" t="inlineStr">
        <is>
          <t>Section 4 per granite_ridge_routing_notes.txt: unit count variance 5.63% (142 list vs 150 schedule) exceeds 5% threshold; TIV variance 8.2% ($970,880) exceeds 3% threshold. Source: granite_ridge_renewal_accounts.csv, granite_ridge_location_schedule.csv.</t>
        </is>
      </c>
    </row>
    <row r="35" ht="23.85" customHeight="1" s="23">
      <c r="A35" s="36" t="inlineStr">
        <is>
          <t>GR-2162</t>
        </is>
      </c>
      <c r="B35" s="36" t="inlineStr">
        <is>
          <t>Grandview Portfolio LLC</t>
        </is>
      </c>
      <c r="C35" s="36" t="inlineStr">
        <is>
          <t>OH</t>
        </is>
      </c>
      <c r="D35" s="37" t="n">
        <v>392850</v>
      </c>
      <c r="E35" s="36" t="inlineStr">
        <is>
          <t>Quoted</t>
        </is>
      </c>
      <c r="F35" s="36" t="inlineStr">
        <is>
          <t>Y</t>
        </is>
      </c>
      <c r="G35" s="36" t="n">
        <v>412</v>
      </c>
      <c r="H35" s="36">
        <f>SUMIFS(Src_Locations!$F$2:$F$76,Src_Locations!$B$2:$B$76,A35)</f>
        <v/>
      </c>
      <c r="I35" s="38">
        <f>ABS(G35-H35)/G35</f>
        <v/>
      </c>
      <c r="J35" s="39" t="n">
        <v>48260000</v>
      </c>
      <c r="K35" s="39">
        <f>SUMIFS(Src_Locations!$E$2:$E$76,Src_Locations!$B$2:$B$76,A35)</f>
        <v/>
      </c>
      <c r="L35" s="38">
        <f>ABS(J35-K35)/J35</f>
        <v/>
      </c>
      <c r="M35" s="36">
        <f>COUNTIF(Src_Locations!$B$2:$B$76,A35)</f>
        <v/>
      </c>
      <c r="N35" s="36">
        <f>COUNTIFS(Src_Locations!$B$2:$B$76,A35,Src_Locations!$G$2:$G$76,"&gt;0")</f>
        <v/>
      </c>
      <c r="O35" s="36" t="inlineStr">
        <is>
          <t>N</t>
        </is>
      </c>
      <c r="P35" s="36">
        <f>SUMIFS(Src_Locations!$P$2:$P$76,Src_Locations!$B$2:$B$76,A35)</f>
        <v/>
      </c>
      <c r="Q35" s="36">
        <f>COUNTIFS(Src_Locations!$B$2:$B$76,A35,Src_Locations!$L$2:$L$76,"pending_fence_po")</f>
        <v/>
      </c>
      <c r="R35" s="36">
        <f>COUNTIFS(Src_Locations!$B$2:$B$76,A35,Src_Locations!$I$2:$I$76,"Y")</f>
        <v/>
      </c>
      <c r="S35" s="36">
        <f>SUMIFS(Src_Locations!$R$2:$R$76,Src_Locations!$B$2:$B$76,A35)</f>
        <v/>
      </c>
      <c r="T35" s="40" t="n">
        <v>0.9340000000000001</v>
      </c>
      <c r="U35" s="40" t="n">
        <v>0.318</v>
      </c>
      <c r="V35" s="40">
        <f>SUMIFS(Src_LossRun!$J$2:$J$43,Src_LossRun!$C$2:$C$43,A35)/D35</f>
        <v/>
      </c>
      <c r="W35" s="39">
        <f>_xlfn.MAXIFS(Src_Locations!$Q$2:$Q$76,Src_Locations!$B$2:$B$76,A35)</f>
        <v/>
      </c>
      <c r="X35" s="36">
        <f>IF(B35="Campus Edge Housing Co.",1,0)</f>
        <v/>
      </c>
      <c r="Y35" s="36">
        <f>IF(V35&gt;=Executive_Summary!$C$8,1,0)</f>
        <v/>
      </c>
      <c r="Z35" s="36">
        <f>IF(S35&gt;0,1,0)</f>
        <v/>
      </c>
      <c r="AA35" s="36">
        <f>(V35&gt;=Executive_Summary!$C$9)+(W35&gt;=Executive_Summary!$C$10)+(I35&gt;Executive_Summary!$C$11)+(L35&gt;Executive_Summary!$C$12)+(P35&gt;0)+(Q35&gt;0)+(N35&gt;0)+(X35=1)</f>
        <v/>
      </c>
      <c r="AB35" s="41">
        <f>IF(Y35=1,"Decline",IF(Z35=1,"Ask Broker",IF(AA35&gt;0,"Refer","Quote")))</f>
        <v/>
      </c>
      <c r="AC35" s="33" t="inlineStr">
        <is>
          <t>Sec 3</t>
        </is>
      </c>
      <c r="AD35" s="33" t="inlineStr">
        <is>
          <t>Section 3: recomputed LR 67.5% is 45%-70% (granite_ridge_loss_run_36mo.csv); Section 3: HAB-2162-C attritional incurred $260,120 &gt;= $250,000 (granite_ridge_loss_run_36mo.csv).</t>
        </is>
      </c>
    </row>
    <row r="36" ht="23.85" customHeight="1" s="23">
      <c r="A36" s="36" t="inlineStr">
        <is>
          <t>GR-2195</t>
        </is>
      </c>
      <c r="B36" s="36" t="inlineStr">
        <is>
          <t>Humboldt Yard Apts LLC</t>
        </is>
      </c>
      <c r="C36" s="36" t="inlineStr">
        <is>
          <t>MN</t>
        </is>
      </c>
      <c r="D36" s="37" t="n">
        <v>48620</v>
      </c>
      <c r="E36" s="36" t="inlineStr">
        <is>
          <t>Quoted</t>
        </is>
      </c>
      <c r="F36" s="36" t="inlineStr">
        <is>
          <t>Y</t>
        </is>
      </c>
      <c r="G36" s="36" t="n">
        <v>88</v>
      </c>
      <c r="H36" s="36">
        <f>SUMIFS(Src_Locations!$F$2:$F$76,Src_Locations!$B$2:$B$76,A36)</f>
        <v/>
      </c>
      <c r="I36" s="38">
        <f>ABS(G36-H36)/G36</f>
        <v/>
      </c>
      <c r="J36" s="39" t="n">
        <v>7420000</v>
      </c>
      <c r="K36" s="39">
        <f>SUMIFS(Src_Locations!$E$2:$E$76,Src_Locations!$B$2:$B$76,A36)</f>
        <v/>
      </c>
      <c r="L36" s="38">
        <f>ABS(J36-K36)/J36</f>
        <v/>
      </c>
      <c r="M36" s="36">
        <f>COUNTIF(Src_Locations!$B$2:$B$76,A36)</f>
        <v/>
      </c>
      <c r="N36" s="36">
        <f>COUNTIFS(Src_Locations!$B$2:$B$76,A36,Src_Locations!$G$2:$G$76,"&gt;0")</f>
        <v/>
      </c>
      <c r="O36" s="36" t="inlineStr">
        <is>
          <t>N</t>
        </is>
      </c>
      <c r="P36" s="36">
        <f>SUMIFS(Src_Locations!$P$2:$P$76,Src_Locations!$B$2:$B$76,A36)</f>
        <v/>
      </c>
      <c r="Q36" s="36">
        <f>COUNTIFS(Src_Locations!$B$2:$B$76,A36,Src_Locations!$L$2:$L$76,"pending_fence_po")</f>
        <v/>
      </c>
      <c r="R36" s="36">
        <f>COUNTIFS(Src_Locations!$B$2:$B$76,A36,Src_Locations!$I$2:$I$76,"Y")</f>
        <v/>
      </c>
      <c r="S36" s="36">
        <f>SUMIFS(Src_Locations!$R$2:$R$76,Src_Locations!$B$2:$B$76,A36)</f>
        <v/>
      </c>
      <c r="T36" s="40" t="n">
        <v>0.926</v>
      </c>
      <c r="U36" s="40" t="n">
        <v>0.482</v>
      </c>
      <c r="V36" s="40">
        <f>SUMIFS(Src_LossRun!$J$2:$J$43,Src_LossRun!$C$2:$C$43,A36)/D36</f>
        <v/>
      </c>
      <c r="W36" s="39">
        <f>_xlfn.MAXIFS(Src_Locations!$Q$2:$Q$76,Src_Locations!$B$2:$B$76,A36)</f>
        <v/>
      </c>
      <c r="X36" s="36">
        <f>IF(B36="Campus Edge Housing Co.",1,0)</f>
        <v/>
      </c>
      <c r="Y36" s="36">
        <f>IF(V36&gt;=Executive_Summary!$C$8,1,0)</f>
        <v/>
      </c>
      <c r="Z36" s="36">
        <f>IF(S36&gt;0,1,0)</f>
        <v/>
      </c>
      <c r="AA36" s="36">
        <f>(V36&gt;=Executive_Summary!$C$9)+(W36&gt;=Executive_Summary!$C$10)+(I36&gt;Executive_Summary!$C$11)+(L36&gt;Executive_Summary!$C$12)+(P36&gt;0)+(Q36&gt;0)+(N36&gt;0)+(X36=1)</f>
        <v/>
      </c>
      <c r="AB36" s="41">
        <f>IF(Y36=1,"Decline",IF(Z36=1,"Ask Broker",IF(AA36&gt;0,"Refer","Quote")))</f>
        <v/>
      </c>
      <c r="AC36" s="33" t="inlineStr">
        <is>
          <t>Sec 3</t>
        </is>
      </c>
      <c r="AD36" s="33" t="inlineStr">
        <is>
          <t>Section 3 decline: recomputed attritional loss ratio 292.3% (&gt;=70%) from granite_ridge_loss_run_36mo.csv; account list showed 48.2% (stale) in granite_ridge_renewal_accounts.csv.</t>
        </is>
      </c>
    </row>
    <row r="37" ht="23.85" customHeight="1" s="23">
      <c r="A37" s="36" t="inlineStr">
        <is>
          <t>GR-2200</t>
        </is>
      </c>
      <c r="B37" s="36" t="inlineStr">
        <is>
          <t>Indiana Ave Partners LLC</t>
        </is>
      </c>
      <c r="C37" s="36" t="inlineStr">
        <is>
          <t>IN</t>
        </is>
      </c>
      <c r="D37" s="37" t="n">
        <v>82603.3</v>
      </c>
      <c r="E37" s="36" t="inlineStr">
        <is>
          <t>Quoted</t>
        </is>
      </c>
      <c r="F37" s="36" t="inlineStr">
        <is>
          <t>Y</t>
        </is>
      </c>
      <c r="G37" s="36" t="n">
        <v>153</v>
      </c>
      <c r="H37" s="36">
        <f>SUMIFS(Src_Locations!$F$2:$F$76,Src_Locations!$B$2:$B$76,A37)</f>
        <v/>
      </c>
      <c r="I37" s="38">
        <f>ABS(G37-H37)/G37</f>
        <v/>
      </c>
      <c r="J37" s="39" t="n">
        <v>11805363</v>
      </c>
      <c r="K37" s="39">
        <f>SUMIFS(Src_Locations!$E$2:$E$76,Src_Locations!$B$2:$B$76,A37)</f>
        <v/>
      </c>
      <c r="L37" s="38">
        <f>ABS(J37-K37)/J37</f>
        <v/>
      </c>
      <c r="M37" s="36">
        <f>COUNTIF(Src_Locations!$B$2:$B$76,A37)</f>
        <v/>
      </c>
      <c r="N37" s="36">
        <f>COUNTIFS(Src_Locations!$B$2:$B$76,A37,Src_Locations!$G$2:$G$76,"&gt;0")</f>
        <v/>
      </c>
      <c r="O37" s="36" t="inlineStr">
        <is>
          <t>N</t>
        </is>
      </c>
      <c r="P37" s="36">
        <f>SUMIFS(Src_Locations!$P$2:$P$76,Src_Locations!$B$2:$B$76,A37)</f>
        <v/>
      </c>
      <c r="Q37" s="36">
        <f>COUNTIFS(Src_Locations!$B$2:$B$76,A37,Src_Locations!$L$2:$L$76,"pending_fence_po")</f>
        <v/>
      </c>
      <c r="R37" s="36">
        <f>COUNTIFS(Src_Locations!$B$2:$B$76,A37,Src_Locations!$I$2:$I$76,"Y")</f>
        <v/>
      </c>
      <c r="S37" s="36">
        <f>SUMIFS(Src_Locations!$R$2:$R$76,Src_Locations!$B$2:$B$76,A37)</f>
        <v/>
      </c>
      <c r="T37" s="40" t="n">
        <v>0.9429999999999999</v>
      </c>
      <c r="U37" s="40" t="n">
        <v>0.263</v>
      </c>
      <c r="V37" s="40">
        <f>SUMIFS(Src_LossRun!$J$2:$J$43,Src_LossRun!$C$2:$C$43,A37)/D37</f>
        <v/>
      </c>
      <c r="W37" s="39">
        <f>_xlfn.MAXIFS(Src_Locations!$Q$2:$Q$76,Src_Locations!$B$2:$B$76,A37)</f>
        <v/>
      </c>
      <c r="X37" s="36">
        <f>IF(B37="Campus Edge Housing Co.",1,0)</f>
        <v/>
      </c>
      <c r="Y37" s="36">
        <f>IF(V37&gt;=Executive_Summary!$C$8,1,0)</f>
        <v/>
      </c>
      <c r="Z37" s="36">
        <f>IF(S37&gt;0,1,0)</f>
        <v/>
      </c>
      <c r="AA37" s="36">
        <f>(V37&gt;=Executive_Summary!$C$9)+(W37&gt;=Executive_Summary!$C$10)+(I37&gt;Executive_Summary!$C$11)+(L37&gt;Executive_Summary!$C$12)+(P37&gt;0)+(Q37&gt;0)+(N37&gt;0)+(X37=1)</f>
        <v/>
      </c>
      <c r="AB37" s="41">
        <f>IF(Y37=1,"Decline",IF(Z37=1,"Ask Broker",IF(AA37&gt;0,"Refer","Quote")))</f>
        <v/>
      </c>
      <c r="AC37" s="33" t="inlineStr">
        <is>
          <t>Sec 3-6</t>
        </is>
      </c>
      <c r="AD37" s="33" t="inlineStr">
        <is>
          <t>Section 3 LR 16.6% is below 45%. Schedule reconciliation, inspections, subsidized-housing check, and pool check all clear. Quote per granite_ridge_routing_notes.txt.</t>
        </is>
      </c>
    </row>
  </sheetData>
  <autoFilter ref="A1:AD37"/>
  <conditionalFormatting sqref="AB2:AB37">
    <cfRule type="cellIs" rank="0" priority="2" equalAverage="0" operator="equal" aboveAverage="0" dxfId="0" text="" percent="0" bottom="0">
      <formula>"Quote"</formula>
    </cfRule>
    <cfRule type="cellIs" rank="0" priority="3" equalAverage="0" operator="equal" aboveAverage="0" dxfId="1" text="" percent="0" bottom="0">
      <formula>"Refer"</formula>
    </cfRule>
    <cfRule type="cellIs" rank="0" priority="4" equalAverage="0" operator="equal" aboveAverage="0" dxfId="2" text="" percent="0" bottom="0">
      <formula>"Decline"</formula>
    </cfRule>
    <cfRule type="cellIs" rank="0" priority="5" equalAverage="0" operator="equal" aboveAverage="0" dxfId="3" text="" percent="0" bottom="0">
      <formula>"Ask Broker"</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17"/>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0" customWidth="1" style="22" min="1" max="1"/>
    <col width="16" customWidth="1" style="22" min="2" max="2"/>
    <col width="24" customWidth="1" style="22" min="3" max="3"/>
    <col width="32" customWidth="1" style="22" min="4" max="4"/>
    <col width="34" customWidth="1" style="22" min="5" max="5"/>
    <col width="26" customWidth="1" style="22" min="6" max="6"/>
    <col width="30" customWidth="1" style="22" min="7" max="7"/>
    <col width="52" customWidth="1" style="22" min="8" max="8"/>
    <col width="28" customWidth="1" style="22" min="9" max="9"/>
    <col width="30" customWidth="1" style="22" min="10" max="10"/>
  </cols>
  <sheetData>
    <row r="1" ht="43.5" customHeight="1" s="23">
      <c r="A1" s="31" t="inlineStr">
        <is>
          <t>account_id</t>
        </is>
      </c>
      <c r="B1" s="31" t="inlineStr">
        <is>
          <t>location_id</t>
        </is>
      </c>
      <c r="C1" s="31" t="inlineStr">
        <is>
          <t>field</t>
        </is>
      </c>
      <c r="D1" s="31" t="inlineStr">
        <is>
          <t>source_value</t>
        </is>
      </c>
      <c r="E1" s="31" t="inlineStr">
        <is>
          <t>threshold_or_conflicting_value</t>
        </is>
      </c>
      <c r="F1" s="31" t="inlineStr">
        <is>
          <t>exception_type</t>
        </is>
      </c>
      <c r="G1" s="31" t="inlineStr">
        <is>
          <t>impact_on_routing</t>
        </is>
      </c>
      <c r="H1" s="31" t="inlineStr">
        <is>
          <t>resolution / required action</t>
        </is>
      </c>
      <c r="I1" s="31" t="inlineStr">
        <is>
          <t>rule_reference</t>
        </is>
      </c>
      <c r="J1" s="31" t="inlineStr">
        <is>
          <t>source_file</t>
        </is>
      </c>
    </row>
    <row r="2" ht="35.05" customHeight="1" s="23">
      <c r="A2" s="36" t="inlineStr">
        <is>
          <t>GR-2007</t>
        </is>
      </c>
      <c r="B2" s="36" t="inlineStr">
        <is>
          <t>Account level</t>
        </is>
      </c>
      <c r="C2" s="36" t="inlineStr">
        <is>
          <t>named_insured</t>
        </is>
      </c>
      <c r="D2" s="33" t="inlineStr">
        <is>
          <t>Campus Edge Housing Co. (student housing)</t>
        </is>
      </c>
      <c r="E2" s="33" t="inlineStr">
        <is>
          <t>Section 10 appetite note applies even with no vacancy_flag set</t>
        </is>
      </c>
      <c r="F2" s="33" t="inlineStr">
        <is>
          <t>Student-housing appetite note</t>
        </is>
      </c>
      <c r="G2" s="33" t="inlineStr">
        <is>
          <t>Refer (mandatory pre-bind review; judgment, see Decision_Notes note 4)</t>
        </is>
      </c>
      <c r="H2" s="33" t="inlineStr">
        <is>
          <t>GRP-APPETITE review must be submitted before bind. No CUO clearance memo is in the file package, so clearance is NOT assumed. Seasonal-vacancy questions go to GRP-APPETITE.</t>
        </is>
      </c>
      <c r="I2" s="33" t="inlineStr">
        <is>
          <t>granite_ridge_routing_notes.txt Section 10</t>
        </is>
      </c>
      <c r="J2" s="33" t="inlineStr">
        <is>
          <t>granite_ridge_renewal_accounts.csv; granite_ridge_routing_notes.txt</t>
        </is>
      </c>
    </row>
    <row r="3" ht="35.05" customHeight="1" s="23">
      <c r="A3" s="36" t="inlineStr">
        <is>
          <t>GR-2033</t>
        </is>
      </c>
      <c r="B3" s="36" t="inlineStr">
        <is>
          <t>HAB-2033-B</t>
        </is>
      </c>
      <c r="C3" s="36" t="inlineStr">
        <is>
          <t>vacancy_flag / broker_confirmation</t>
        </is>
      </c>
      <c r="D3" s="33" t="inlineStr">
        <is>
          <t>Y / no</t>
        </is>
      </c>
      <c r="E3" s="33" t="inlineStr">
        <is>
          <t>Y with broker_confirmation = no</t>
        </is>
      </c>
      <c r="F3" s="33" t="inlineStr">
        <is>
          <t>Vacancy not confirmed by broker</t>
        </is>
      </c>
      <c r="G3" s="33" t="inlineStr">
        <is>
          <t>Ask Broker; do not quote until updated</t>
        </is>
      </c>
      <c r="H3" s="33" t="inlineStr">
        <is>
          <t>Request vacancy/turnover confirmation via queue GRP-BRK-UPD. Account occupancy 88.4% is consistent with a vacant location; summary occupancy cannot be relied on alone.</t>
        </is>
      </c>
      <c r="I3" s="33" t="inlineStr">
        <is>
          <t>granite_ridge_routing_notes.txt Section 6</t>
        </is>
      </c>
      <c r="J3" s="33" t="inlineStr">
        <is>
          <t>granite_ridge_location_schedule.csv</t>
        </is>
      </c>
    </row>
    <row r="4" ht="35.05" customHeight="1" s="23">
      <c r="A4" s="36" t="inlineStr">
        <is>
          <t>GR-2047</t>
        </is>
      </c>
      <c r="B4" s="36" t="inlineStr">
        <is>
          <t>HAB-2047-B</t>
        </is>
      </c>
      <c r="C4" s="36" t="inlineStr">
        <is>
          <t>vacancy_flag / broker_confirmation</t>
        </is>
      </c>
      <c r="D4" s="33" t="inlineStr">
        <is>
          <t>Y / yes</t>
        </is>
      </c>
      <c r="E4" s="33" t="inlineStr">
        <is>
          <t>Y with broker_confirmation = yes</t>
        </is>
      </c>
      <c r="F4" s="33" t="inlineStr">
        <is>
          <t>Vacancy documented by broker (informational)</t>
        </is>
      </c>
      <c r="G4" s="33" t="inlineStr">
        <is>
          <t>None: Ask Broker not triggered; Refer vacancy trigger not met (documented; occupancy 94.0% not full)</t>
        </is>
      </c>
      <c r="H4" s="33" t="inlineStr">
        <is>
          <t>Quote retained. Judgment call documented on Decision_Notes (note 3). Reopen if desk requires a separate turnover-exception document.</t>
        </is>
      </c>
      <c r="I4" s="33" t="inlineStr">
        <is>
          <t>granite_ridge_routing_notes.txt Section 6</t>
        </is>
      </c>
      <c r="J4" s="33" t="inlineStr">
        <is>
          <t>granite_ridge_location_schedule.csv</t>
        </is>
      </c>
    </row>
    <row r="5" ht="35.05" customHeight="1" s="23">
      <c r="A5" s="36" t="inlineStr">
        <is>
          <t>GR-2053</t>
        </is>
      </c>
      <c r="B5" s="36" t="inlineStr">
        <is>
          <t>HAB-2053-A</t>
        </is>
      </c>
      <c r="C5" s="36" t="inlineStr">
        <is>
          <t>subsidized_unit_count</t>
        </is>
      </c>
      <c r="D5" s="33" t="n">
        <v>24</v>
      </c>
      <c r="E5" s="33" t="inlineStr">
        <is>
          <t>&gt; 0 triggers referral</t>
        </is>
      </c>
      <c r="F5" s="33" t="inlineStr">
        <is>
          <t>Subsidized housing</t>
        </is>
      </c>
      <c r="G5" s="33" t="inlineStr">
        <is>
          <t>Refer before Quote</t>
        </is>
      </c>
      <c r="H5" s="33" t="inlineStr">
        <is>
          <t>Obtain subsidized-housing endorsement documentation; route via queue GRP-SUB-HAB. Account list subsidized_housing_flag = Y agrees with schedule.</t>
        </is>
      </c>
      <c r="I5" s="33" t="inlineStr">
        <is>
          <t>granite_ridge_routing_notes.txt Section 6</t>
        </is>
      </c>
      <c r="J5" s="33" t="inlineStr">
        <is>
          <t>granite_ridge_location_schedule.csv</t>
        </is>
      </c>
    </row>
    <row r="6" ht="35.05" customHeight="1" s="23">
      <c r="A6" s="36" t="inlineStr">
        <is>
          <t>GR-2065</t>
        </is>
      </c>
      <c r="B6" s="36" t="inlineStr">
        <is>
          <t>Account level</t>
        </is>
      </c>
      <c r="C6" s="36" t="inlineStr">
        <is>
          <t>named_insured</t>
        </is>
      </c>
      <c r="D6" s="33" t="inlineStr">
        <is>
          <t>Campus Edge Housing Co. (student housing)</t>
        </is>
      </c>
      <c r="E6" s="33" t="inlineStr">
        <is>
          <t>Section 10 appetite note applies even with no vacancy_flag set</t>
        </is>
      </c>
      <c r="F6" s="33" t="inlineStr">
        <is>
          <t>Student-housing appetite note</t>
        </is>
      </c>
      <c r="G6" s="33" t="inlineStr">
        <is>
          <t>Refer (mandatory pre-bind review; judgment, see Decision_Notes note 4)</t>
        </is>
      </c>
      <c r="H6" s="33" t="inlineStr">
        <is>
          <t>GRP-APPETITE review must be submitted before bind. No CUO clearance memo is in the file package, so clearance is NOT assumed. Seasonal-vacancy questions go to GRP-APPETITE.</t>
        </is>
      </c>
      <c r="I6" s="33" t="inlineStr">
        <is>
          <t>granite_ridge_routing_notes.txt Section 10</t>
        </is>
      </c>
      <c r="J6" s="33" t="inlineStr">
        <is>
          <t>granite_ridge_renewal_accounts.csv; granite_ridge_routing_notes.txt</t>
        </is>
      </c>
    </row>
    <row r="7" ht="35.05" customHeight="1" s="23">
      <c r="A7" s="36" t="inlineStr">
        <is>
          <t>GR-2068</t>
        </is>
      </c>
      <c r="B7" s="36" t="inlineStr">
        <is>
          <t>HAB-2068-B</t>
        </is>
      </c>
      <c r="C7" s="36" t="inlineStr">
        <is>
          <t>subsidized_unit_count</t>
        </is>
      </c>
      <c r="D7" s="33" t="n">
        <v>18</v>
      </c>
      <c r="E7" s="33" t="inlineStr">
        <is>
          <t>&gt; 0 triggers referral</t>
        </is>
      </c>
      <c r="F7" s="33" t="inlineStr">
        <is>
          <t>Subsidized housing</t>
        </is>
      </c>
      <c r="G7" s="33" t="inlineStr">
        <is>
          <t>Refer before Quote</t>
        </is>
      </c>
      <c r="H7" s="33" t="inlineStr">
        <is>
          <t>Obtain subsidized-housing endorsement documentation; route via queue GRP-SUB-HAB. Account list subsidized_housing_flag = Y agrees with schedule.</t>
        </is>
      </c>
      <c r="I7" s="33" t="inlineStr">
        <is>
          <t>granite_ridge_routing_notes.txt Section 6</t>
        </is>
      </c>
      <c r="J7" s="33" t="inlineStr">
        <is>
          <t>granite_ridge_location_schedule.csv</t>
        </is>
      </c>
    </row>
    <row r="8" ht="23.85" customHeight="1" s="23">
      <c r="A8" s="36" t="inlineStr">
        <is>
          <t>GR-2071</t>
        </is>
      </c>
      <c r="B8" s="36" t="inlineStr">
        <is>
          <t>HAB-2071-A</t>
        </is>
      </c>
      <c r="C8" s="36" t="inlineStr">
        <is>
          <t>cat_code</t>
        </is>
      </c>
      <c r="D8" s="33" t="inlineStr">
        <is>
          <t>CAT-2408; $284,600.00 paid (Wind, 2024-08-19)</t>
        </is>
      </c>
      <c r="E8" s="33" t="inlineStr">
        <is>
          <t>Section 9 default: exclude cat rows from Section 3 thresholds</t>
        </is>
      </c>
      <c r="F8" s="33" t="inlineStr">
        <is>
          <t>Catastrophe-coded loss excluded</t>
        </is>
      </c>
      <c r="G8" s="33" t="inlineStr">
        <is>
          <t>None (excluded); Quote retained</t>
        </is>
      </c>
      <c r="H8" s="33" t="inlineStr">
        <is>
          <t>Tracked separately. CUO memo GRP-CAT-2025-03 is not in the file package, so default exclusion applied.</t>
        </is>
      </c>
      <c r="I8" s="33" t="inlineStr">
        <is>
          <t>granite_ridge_routing_notes.txt Section 9</t>
        </is>
      </c>
      <c r="J8" s="33" t="inlineStr">
        <is>
          <t>granite_ridge_loss_run_36mo.csv</t>
        </is>
      </c>
    </row>
    <row r="9" ht="23.85" customHeight="1" s="23">
      <c r="A9" s="36" t="inlineStr">
        <is>
          <t>GR-2074</t>
        </is>
      </c>
      <c r="B9" s="36" t="inlineStr">
        <is>
          <t>HAB-2074-A</t>
        </is>
      </c>
      <c r="C9" s="36" t="inlineStr">
        <is>
          <t>pool_liability_flag</t>
        </is>
      </c>
      <c r="D9" s="33" t="inlineStr">
        <is>
          <t>pending_fence_po</t>
        </is>
      </c>
      <c r="E9" s="33" t="inlineStr">
        <is>
          <t>Must be cleared with completion evidence</t>
        </is>
      </c>
      <c r="F9" s="33" t="inlineStr">
        <is>
          <t>Pool fence remediation pending</t>
        </is>
      </c>
      <c r="G9" s="33" t="inlineStr">
        <is>
          <t>Refer</t>
        </is>
      </c>
      <c r="H9" s="33" t="inlineStr">
        <is>
          <t>Hold until fence completion evidence is uploaded.</t>
        </is>
      </c>
      <c r="I9" s="33" t="inlineStr">
        <is>
          <t>granite_ridge_routing_notes.txt Section 5</t>
        </is>
      </c>
      <c r="J9" s="33" t="inlineStr">
        <is>
          <t>granite_ridge_location_schedule.csv</t>
        </is>
      </c>
    </row>
    <row r="10" ht="23.85" customHeight="1" s="23">
      <c r="A10" s="36" t="inlineStr">
        <is>
          <t>GR-2089</t>
        </is>
      </c>
      <c r="B10" s="36" t="inlineStr">
        <is>
          <t>HAB-2089-A</t>
        </is>
      </c>
      <c r="C10" s="36" t="inlineStr">
        <is>
          <t>sprinkler_inspection_date</t>
        </is>
      </c>
      <c r="D10" s="33" t="inlineStr">
        <is>
          <t>2025-04-02</t>
        </is>
      </c>
      <c r="E10" s="33" t="inlineStr">
        <is>
          <t>Cutoff: on or after 2025-09-01 (30 days before 2025-10-01); actual 182 days before</t>
        </is>
      </c>
      <c r="F10" s="33" t="inlineStr">
        <is>
          <t>Life-safety inspection lapse</t>
        </is>
      </c>
      <c r="G10" s="33" t="inlineStr">
        <is>
          <t>Refer</t>
        </is>
      </c>
      <c r="H10" s="33" t="inlineStr">
        <is>
          <t>No renewed certificate in file package; obtain renewed sprinkler and fire alarm certificates before bind.</t>
        </is>
      </c>
      <c r="I10" s="33" t="inlineStr">
        <is>
          <t>granite_ridge_routing_notes.txt Section 5</t>
        </is>
      </c>
      <c r="J10" s="33" t="inlineStr">
        <is>
          <t>granite_ridge_location_schedule.csv</t>
        </is>
      </c>
    </row>
    <row r="11" ht="23.85" customHeight="1" s="23">
      <c r="A11" s="36" t="inlineStr">
        <is>
          <t>GR-2089</t>
        </is>
      </c>
      <c r="B11" s="36" t="inlineStr">
        <is>
          <t>HAB-2089-A</t>
        </is>
      </c>
      <c r="C11" s="36" t="inlineStr">
        <is>
          <t>fire_alarm_inspection_date</t>
        </is>
      </c>
      <c r="D11" s="33" t="inlineStr">
        <is>
          <t>2025-04-02</t>
        </is>
      </c>
      <c r="E11" s="33" t="inlineStr">
        <is>
          <t>Cutoff: on or after 2025-09-01 (30 days before 2025-10-01); actual 182 days before</t>
        </is>
      </c>
      <c r="F11" s="33" t="inlineStr">
        <is>
          <t>Life-safety inspection lapse</t>
        </is>
      </c>
      <c r="G11" s="33" t="inlineStr">
        <is>
          <t>Refer</t>
        </is>
      </c>
      <c r="H11" s="33" t="inlineStr">
        <is>
          <t>No renewed certificate in file package; obtain renewed sprinkler and fire alarm certificates before bind.</t>
        </is>
      </c>
      <c r="I11" s="33" t="inlineStr">
        <is>
          <t>granite_ridge_routing_notes.txt Section 5</t>
        </is>
      </c>
      <c r="J11" s="33" t="inlineStr">
        <is>
          <t>granite_ridge_location_schedule.csv</t>
        </is>
      </c>
    </row>
    <row r="12" ht="35.05" customHeight="1" s="23">
      <c r="A12" s="36" t="inlineStr">
        <is>
          <t>GR-2092</t>
        </is>
      </c>
      <c r="B12" s="36" t="inlineStr">
        <is>
          <t>HAB-2092-A</t>
        </is>
      </c>
      <c r="C12" s="36" t="inlineStr">
        <is>
          <t>subsidized_unit_count</t>
        </is>
      </c>
      <c r="D12" s="33" t="n">
        <v>22</v>
      </c>
      <c r="E12" s="33" t="inlineStr">
        <is>
          <t>&gt; 0 triggers referral</t>
        </is>
      </c>
      <c r="F12" s="33" t="inlineStr">
        <is>
          <t>Subsidized housing</t>
        </is>
      </c>
      <c r="G12" s="33" t="inlineStr">
        <is>
          <t>Refer before Quote</t>
        </is>
      </c>
      <c r="H12" s="33" t="inlineStr">
        <is>
          <t>Obtain subsidized-housing endorsement documentation; route via queue GRP-SUB-HAB. Account list subsidized_housing_flag = Y agrees with schedule.</t>
        </is>
      </c>
      <c r="I12" s="33" t="inlineStr">
        <is>
          <t>granite_ridge_routing_notes.txt Section 6</t>
        </is>
      </c>
      <c r="J12" s="33" t="inlineStr">
        <is>
          <t>granite_ridge_location_schedule.csv</t>
        </is>
      </c>
    </row>
    <row r="13" ht="23.85" customHeight="1" s="23">
      <c r="A13" s="36" t="inlineStr">
        <is>
          <t>GR-2113</t>
        </is>
      </c>
      <c r="B13" s="36" t="inlineStr">
        <is>
          <t>Account level (all 3 locations)</t>
        </is>
      </c>
      <c r="C13" s="36" t="inlineStr">
        <is>
          <t>unit_count</t>
        </is>
      </c>
      <c r="D13" s="33" t="inlineStr">
        <is>
          <t>List 142 vs schedule sum 150 (variance 8 units, 5.63%)</t>
        </is>
      </c>
      <c r="E13" s="33" t="inlineStr">
        <is>
          <t>Refer if variance &gt; 5% of list unit_count</t>
        </is>
      </c>
      <c r="F13" s="33" t="inlineStr">
        <is>
          <t>Unit count does not tie</t>
        </is>
      </c>
      <c r="G13" s="33" t="inlineStr">
        <is>
          <t>Refer</t>
        </is>
      </c>
      <c r="H13" s="33" t="inlineStr">
        <is>
          <t>Schedule governs unit counts (Section 1 item 3); obtain corrected account unit count / confirm added units.</t>
        </is>
      </c>
      <c r="I13" s="33" t="inlineStr">
        <is>
          <t>granite_ridge_routing_notes.txt Section 4</t>
        </is>
      </c>
      <c r="J13" s="33" t="inlineStr">
        <is>
          <t>granite_ridge_renewal_accounts.csv; granite_ridge_location_schedule.csv</t>
        </is>
      </c>
    </row>
    <row r="14" ht="23.85" customHeight="1" s="23">
      <c r="A14" s="36" t="inlineStr">
        <is>
          <t>GR-2113</t>
        </is>
      </c>
      <c r="B14" s="36" t="inlineStr">
        <is>
          <t>Account level (all 3 locations)</t>
        </is>
      </c>
      <c r="C14" s="36" t="inlineStr">
        <is>
          <t>account_tiv vs building_tiv</t>
        </is>
      </c>
      <c r="D14" s="33" t="inlineStr">
        <is>
          <t>List $11,840,000 vs schedule sum $12,810,880 (variance $970,880, 8.20%)</t>
        </is>
      </c>
      <c r="E14" s="33" t="inlineStr">
        <is>
          <t>Refer if variance &gt; 3% of list TIV</t>
        </is>
      </c>
      <c r="F14" s="33" t="inlineStr">
        <is>
          <t>TIV does not tie</t>
        </is>
      </c>
      <c r="G14" s="33" t="inlineStr">
        <is>
          <t>Refer</t>
        </is>
      </c>
      <c r="H14" s="33" t="inlineStr">
        <is>
          <t>Schedule governs TIV; confirm valuation and re-rate on schedule TIV.</t>
        </is>
      </c>
      <c r="I14" s="33" t="inlineStr">
        <is>
          <t>granite_ridge_routing_notes.txt Section 4</t>
        </is>
      </c>
      <c r="J14" s="33" t="inlineStr">
        <is>
          <t>granite_ridge_renewal_accounts.csv; granite_ridge_location_schedule.csv</t>
        </is>
      </c>
    </row>
    <row r="15" ht="23.85" customHeight="1" s="23">
      <c r="A15" s="36" t="inlineStr">
        <is>
          <t>GR-2162</t>
        </is>
      </c>
      <c r="B15" s="36" t="inlineStr">
        <is>
          <t>HAB-2162-C</t>
        </is>
      </c>
      <c r="C15" s="36" t="inlineStr">
        <is>
          <t>total incurred (paid + reserved, 36 mo)</t>
        </is>
      </c>
      <c r="D15" s="33" t="inlineStr">
        <is>
          <t>$260,120.00 (paid $187,640 + reserved $72,480)</t>
        </is>
      </c>
      <c r="E15" s="33" t="inlineStr">
        <is>
          <t>Refer if any single location &gt;= $250,000</t>
        </is>
      </c>
      <c r="F15" s="33" t="inlineStr">
        <is>
          <t>Large single-location loss (Fire, 2024-09-14)</t>
        </is>
      </c>
      <c r="G15" s="33" t="inlineStr">
        <is>
          <t>Refer</t>
        </is>
      </c>
      <c r="H15" s="33" t="inlineStr">
        <is>
          <t>Obtain claim status and large-loss review; account list LR of 31.8% did not show this.</t>
        </is>
      </c>
      <c r="I15" s="33" t="inlineStr">
        <is>
          <t>granite_ridge_routing_notes.txt Section 3</t>
        </is>
      </c>
      <c r="J15" s="33" t="inlineStr">
        <is>
          <t>granite_ridge_loss_run_36mo.csv</t>
        </is>
      </c>
    </row>
    <row r="16"/>
    <row r="17" ht="15" customHeight="1" s="23">
      <c r="A17" s="25" t="inlineStr">
        <is>
          <t>Location-level exception detail for every one of the 75 schedule rows (dates, days before effective date, lapse and vacancy flags) is on Src_Locations columns N-R.</t>
        </is>
      </c>
    </row>
  </sheetData>
  <autoFilter ref="A1:J1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P4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0" customWidth="1" style="22" min="1" max="1"/>
    <col width="26" customWidth="1" style="22" min="2" max="2"/>
    <col width="13" customWidth="1" style="22" min="3" max="3"/>
    <col width="11" customWidth="1" style="22" min="4" max="4"/>
    <col width="8" customWidth="1" style="22" min="5" max="5"/>
    <col width="15" customWidth="1" style="22" min="6" max="8"/>
    <col width="13" customWidth="1" style="22" min="9" max="9"/>
    <col width="11" customWidth="1" style="22" min="10" max="11"/>
    <col width="15" customWidth="1" style="22" min="12" max="12"/>
    <col width="24" customWidth="1" style="22" min="13" max="13"/>
    <col width="12" customWidth="1" style="22" min="14" max="15"/>
    <col width="80" customWidth="1" style="22" min="16" max="16"/>
  </cols>
  <sheetData>
    <row r="1" ht="43.5" customHeight="1" s="23">
      <c r="A1" s="31" t="inlineStr">
        <is>
          <t>account_id</t>
        </is>
      </c>
      <c r="B1" s="31" t="inlineStr">
        <is>
          <t>named_insured</t>
        </is>
      </c>
      <c r="C1" s="31" t="inlineStr">
        <is>
          <t>expiring_premium</t>
        </is>
      </c>
      <c r="D1" s="31" t="inlineStr">
        <is>
          <t>list_loss_ratio (accounts.csv)</t>
        </is>
      </c>
      <c r="E1" s="31" t="inlineStr">
        <is>
          <t>loss_run_rows</t>
        </is>
      </c>
      <c r="F1" s="31" t="inlineStr">
        <is>
          <t>gross_incurred_all_rows (paid+reserved)</t>
        </is>
      </c>
      <c r="G1" s="31" t="inlineStr">
        <is>
          <t>cat_coded_incurred (excluded, Sec 9)</t>
        </is>
      </c>
      <c r="H1" s="31" t="inlineStr">
        <is>
          <t>attritional_incurred (paid+reserved, cat blank)</t>
        </is>
      </c>
      <c r="I1" s="31" t="inlineStr">
        <is>
          <t>recomputed_attritional_LR (Sec 3)</t>
        </is>
      </c>
      <c r="J1" s="31" t="inlineStr">
        <is>
          <t>delta_points (recomputed - list)</t>
        </is>
      </c>
      <c r="K1" s="31" t="inlineStr">
        <is>
          <t>differs_by_more_than_5_pts</t>
        </is>
      </c>
      <c r="L1" s="31" t="inlineStr">
        <is>
          <t>max_single_location_incurred</t>
        </is>
      </c>
      <c r="M1" s="31" t="inlineStr">
        <is>
          <t>Section 3 result</t>
        </is>
      </c>
      <c r="N1" s="31" t="inlineStr">
        <is>
          <t>final_LR_used_for_routing</t>
        </is>
      </c>
      <c r="O1" s="31" t="inlineStr">
        <is>
          <t>disposition</t>
        </is>
      </c>
      <c r="P1" s="31" t="inlineStr">
        <is>
          <t>routing_impact / comment</t>
        </is>
      </c>
    </row>
    <row r="2" ht="15" customHeight="1" s="23">
      <c r="A2" s="36" t="inlineStr">
        <is>
          <t>GR-2001</t>
        </is>
      </c>
      <c r="B2" s="36" t="inlineStr">
        <is>
          <t>Ashland Court Apts LP</t>
        </is>
      </c>
      <c r="C2" s="37">
        <f>Account_Routing!D2</f>
        <v/>
      </c>
      <c r="D2" s="40">
        <f>Account_Routing!U2</f>
        <v/>
      </c>
      <c r="E2" s="36">
        <f>COUNTIF(Src_LossRun!$C$2:$C$43,A2)</f>
        <v/>
      </c>
      <c r="F2" s="37">
        <f>SUMIFS(Src_LossRun!$I$2:$I$43,Src_LossRun!$C$2:$C$43,A2)</f>
        <v/>
      </c>
      <c r="G2" s="37">
        <f>F2-H2</f>
        <v/>
      </c>
      <c r="H2" s="37">
        <f>SUMIFS(Src_LossRun!$J$2:$J$43,Src_LossRun!$C$2:$C$43,A2)</f>
        <v/>
      </c>
      <c r="I2" s="40">
        <f>H2/C2</f>
        <v/>
      </c>
      <c r="J2" s="42">
        <f>(I2-D2)*100</f>
        <v/>
      </c>
      <c r="K2" s="36">
        <f>IF(ABS(J2)&gt;5,"Yes","No")</f>
        <v/>
      </c>
      <c r="L2" s="37">
        <f>Account_Routing!W2</f>
        <v/>
      </c>
      <c r="M2" s="36">
        <f>IF(I2&gt;=Executive_Summary!$C$8,"Decline (LR &gt;= 70%)",IF(I2&gt;=Executive_Summary!$C$9,"Refer (LR 45%-70%)",IF(L2&gt;=Executive_Summary!$C$10,"Refer (single location &gt;= $250k)","Clear")))</f>
        <v/>
      </c>
      <c r="N2" s="40">
        <f>I2</f>
        <v/>
      </c>
      <c r="O2" s="36">
        <f>Account_Routing!AB2</f>
        <v/>
      </c>
      <c r="P2" s="33">
        <f>IF(K2="Yes","List ratio is stale vs loss run; recomputed ratio used per Section 1 item 2. No Section 3 trigger.","Within 5 points of list; recomputed ratio used. No Section 3 trigger.")</f>
        <v/>
      </c>
    </row>
    <row r="3" ht="15" customHeight="1" s="23">
      <c r="A3" s="36" t="inlineStr">
        <is>
          <t>GR-2004</t>
        </is>
      </c>
      <c r="B3" s="36" t="inlineStr">
        <is>
          <t>Berwyn Arms LLC</t>
        </is>
      </c>
      <c r="C3" s="37">
        <f>Account_Routing!D3</f>
        <v/>
      </c>
      <c r="D3" s="40">
        <f>Account_Routing!U3</f>
        <v/>
      </c>
      <c r="E3" s="36">
        <f>COUNTIF(Src_LossRun!$C$2:$C$43,A3)</f>
        <v/>
      </c>
      <c r="F3" s="37">
        <f>SUMIFS(Src_LossRun!$I$2:$I$43,Src_LossRun!$C$2:$C$43,A3)</f>
        <v/>
      </c>
      <c r="G3" s="37">
        <f>F3-H3</f>
        <v/>
      </c>
      <c r="H3" s="37">
        <f>SUMIFS(Src_LossRun!$J$2:$J$43,Src_LossRun!$C$2:$C$43,A3)</f>
        <v/>
      </c>
      <c r="I3" s="40">
        <f>H3/C3</f>
        <v/>
      </c>
      <c r="J3" s="42">
        <f>(I3-D3)*100</f>
        <v/>
      </c>
      <c r="K3" s="36">
        <f>IF(ABS(J3)&gt;5,"Yes","No")</f>
        <v/>
      </c>
      <c r="L3" s="37">
        <f>Account_Routing!W3</f>
        <v/>
      </c>
      <c r="M3" s="36">
        <f>IF(I3&gt;=Executive_Summary!$C$8,"Decline (LR &gt;= 70%)",IF(I3&gt;=Executive_Summary!$C$9,"Refer (LR 45%-70%)",IF(L3&gt;=Executive_Summary!$C$10,"Refer (single location &gt;= $250k)","Clear")))</f>
        <v/>
      </c>
      <c r="N3" s="40">
        <f>I3</f>
        <v/>
      </c>
      <c r="O3" s="36">
        <f>Account_Routing!AB3</f>
        <v/>
      </c>
      <c r="P3" s="33">
        <f>IF(K3="Yes","List ratio is stale vs loss run; recomputed ratio used per Section 1 item 2. No Section 3 trigger.","Within 5 points of list; recomputed ratio used. No Section 3 trigger.")</f>
        <v/>
      </c>
    </row>
    <row r="4" ht="15" customHeight="1" s="23">
      <c r="A4" s="36" t="inlineStr">
        <is>
          <t>GR-2007</t>
        </is>
      </c>
      <c r="B4" s="36" t="inlineStr">
        <is>
          <t>Campus Edge Housing Co.</t>
        </is>
      </c>
      <c r="C4" s="37">
        <f>Account_Routing!D4</f>
        <v/>
      </c>
      <c r="D4" s="40">
        <f>Account_Routing!U4</f>
        <v/>
      </c>
      <c r="E4" s="36">
        <f>COUNTIF(Src_LossRun!$C$2:$C$43,A4)</f>
        <v/>
      </c>
      <c r="F4" s="37">
        <f>SUMIFS(Src_LossRun!$I$2:$I$43,Src_LossRun!$C$2:$C$43,A4)</f>
        <v/>
      </c>
      <c r="G4" s="37">
        <f>F4-H4</f>
        <v/>
      </c>
      <c r="H4" s="37">
        <f>SUMIFS(Src_LossRun!$J$2:$J$43,Src_LossRun!$C$2:$C$43,A4)</f>
        <v/>
      </c>
      <c r="I4" s="40">
        <f>H4/C4</f>
        <v/>
      </c>
      <c r="J4" s="42">
        <f>(I4-D4)*100</f>
        <v/>
      </c>
      <c r="K4" s="36">
        <f>IF(ABS(J4)&gt;5,"Yes","No")</f>
        <v/>
      </c>
      <c r="L4" s="37">
        <f>Account_Routing!W4</f>
        <v/>
      </c>
      <c r="M4" s="36">
        <f>IF(I4&gt;=Executive_Summary!$C$8,"Decline (LR &gt;= 70%)",IF(I4&gt;=Executive_Summary!$C$9,"Refer (LR 45%-70%)",IF(L4&gt;=Executive_Summary!$C$10,"Refer (single location &gt;= $250k)","Clear")))</f>
        <v/>
      </c>
      <c r="N4" s="40">
        <f>I4</f>
        <v/>
      </c>
      <c r="O4" s="36">
        <f>Account_Routing!AB4</f>
        <v/>
      </c>
      <c r="P4" s="33">
        <f>IF(K4="Yes","List ratio is stale vs loss run; recomputed ratio used per Section 1 item 2. No Section 3 trigger.","Within 5 points of list; recomputed ratio used. No Section 3 trigger.")</f>
        <v/>
      </c>
    </row>
    <row r="5" ht="15" customHeight="1" s="23">
      <c r="A5" s="36" t="inlineStr">
        <is>
          <t>GR-2010</t>
        </is>
      </c>
      <c r="B5" s="36" t="inlineStr">
        <is>
          <t>Damen Square Residences</t>
        </is>
      </c>
      <c r="C5" s="37">
        <f>Account_Routing!D5</f>
        <v/>
      </c>
      <c r="D5" s="40">
        <f>Account_Routing!U5</f>
        <v/>
      </c>
      <c r="E5" s="36">
        <f>COUNTIF(Src_LossRun!$C$2:$C$43,A5)</f>
        <v/>
      </c>
      <c r="F5" s="37">
        <f>SUMIFS(Src_LossRun!$I$2:$I$43,Src_LossRun!$C$2:$C$43,A5)</f>
        <v/>
      </c>
      <c r="G5" s="37">
        <f>F5-H5</f>
        <v/>
      </c>
      <c r="H5" s="37">
        <f>SUMIFS(Src_LossRun!$J$2:$J$43,Src_LossRun!$C$2:$C$43,A5)</f>
        <v/>
      </c>
      <c r="I5" s="40">
        <f>H5/C5</f>
        <v/>
      </c>
      <c r="J5" s="42">
        <f>(I5-D5)*100</f>
        <v/>
      </c>
      <c r="K5" s="36">
        <f>IF(ABS(J5)&gt;5,"Yes","No")</f>
        <v/>
      </c>
      <c r="L5" s="37">
        <f>Account_Routing!W5</f>
        <v/>
      </c>
      <c r="M5" s="36">
        <f>IF(I5&gt;=Executive_Summary!$C$8,"Decline (LR &gt;= 70%)",IF(I5&gt;=Executive_Summary!$C$9,"Refer (LR 45%-70%)",IF(L5&gt;=Executive_Summary!$C$10,"Refer (single location &gt;= $250k)","Clear")))</f>
        <v/>
      </c>
      <c r="N5" s="40">
        <f>I5</f>
        <v/>
      </c>
      <c r="O5" s="36">
        <f>Account_Routing!AB5</f>
        <v/>
      </c>
      <c r="P5" s="33">
        <f>IF(K5="Yes","List ratio is stale vs loss run; recomputed ratio used per Section 1 item 2. No Section 3 trigger.","Within 5 points of list; recomputed ratio used. No Section 3 trigger.")</f>
        <v/>
      </c>
    </row>
    <row r="6" ht="15" customHeight="1" s="23">
      <c r="A6" s="36" t="inlineStr">
        <is>
          <t>GR-2013</t>
        </is>
      </c>
      <c r="B6" s="36" t="inlineStr">
        <is>
          <t>Eastgate Manor LLC</t>
        </is>
      </c>
      <c r="C6" s="37">
        <f>Account_Routing!D6</f>
        <v/>
      </c>
      <c r="D6" s="40">
        <f>Account_Routing!U6</f>
        <v/>
      </c>
      <c r="E6" s="36">
        <f>COUNTIF(Src_LossRun!$C$2:$C$43,A6)</f>
        <v/>
      </c>
      <c r="F6" s="37">
        <f>SUMIFS(Src_LossRun!$I$2:$I$43,Src_LossRun!$C$2:$C$43,A6)</f>
        <v/>
      </c>
      <c r="G6" s="37">
        <f>F6-H6</f>
        <v/>
      </c>
      <c r="H6" s="37">
        <f>SUMIFS(Src_LossRun!$J$2:$J$43,Src_LossRun!$C$2:$C$43,A6)</f>
        <v/>
      </c>
      <c r="I6" s="40">
        <f>H6/C6</f>
        <v/>
      </c>
      <c r="J6" s="42">
        <f>(I6-D6)*100</f>
        <v/>
      </c>
      <c r="K6" s="36">
        <f>IF(ABS(J6)&gt;5,"Yes","No")</f>
        <v/>
      </c>
      <c r="L6" s="37">
        <f>Account_Routing!W6</f>
        <v/>
      </c>
      <c r="M6" s="36">
        <f>IF(I6&gt;=Executive_Summary!$C$8,"Decline (LR &gt;= 70%)",IF(I6&gt;=Executive_Summary!$C$9,"Refer (LR 45%-70%)",IF(L6&gt;=Executive_Summary!$C$10,"Refer (single location &gt;= $250k)","Clear")))</f>
        <v/>
      </c>
      <c r="N6" s="40">
        <f>I6</f>
        <v/>
      </c>
      <c r="O6" s="36">
        <f>Account_Routing!AB6</f>
        <v/>
      </c>
      <c r="P6" s="33">
        <f>IF(K6="Yes","List ratio is stale vs loss run; recomputed ratio used per Section 1 item 2. No Section 3 trigger.","Within 5 points of list; recomputed ratio used. No Section 3 trigger.")</f>
        <v/>
      </c>
    </row>
    <row r="7" ht="15" customHeight="1" s="23">
      <c r="A7" s="36" t="inlineStr">
        <is>
          <t>GR-2016</t>
        </is>
      </c>
      <c r="B7" s="36" t="inlineStr">
        <is>
          <t>Fairmount Village Apts</t>
        </is>
      </c>
      <c r="C7" s="37">
        <f>Account_Routing!D7</f>
        <v/>
      </c>
      <c r="D7" s="40">
        <f>Account_Routing!U7</f>
        <v/>
      </c>
      <c r="E7" s="36">
        <f>COUNTIF(Src_LossRun!$C$2:$C$43,A7)</f>
        <v/>
      </c>
      <c r="F7" s="37">
        <f>SUMIFS(Src_LossRun!$I$2:$I$43,Src_LossRun!$C$2:$C$43,A7)</f>
        <v/>
      </c>
      <c r="G7" s="37">
        <f>F7-H7</f>
        <v/>
      </c>
      <c r="H7" s="37">
        <f>SUMIFS(Src_LossRun!$J$2:$J$43,Src_LossRun!$C$2:$C$43,A7)</f>
        <v/>
      </c>
      <c r="I7" s="40">
        <f>H7/C7</f>
        <v/>
      </c>
      <c r="J7" s="42">
        <f>(I7-D7)*100</f>
        <v/>
      </c>
      <c r="K7" s="36">
        <f>IF(ABS(J7)&gt;5,"Yes","No")</f>
        <v/>
      </c>
      <c r="L7" s="37">
        <f>Account_Routing!W7</f>
        <v/>
      </c>
      <c r="M7" s="36">
        <f>IF(I7&gt;=Executive_Summary!$C$8,"Decline (LR &gt;= 70%)",IF(I7&gt;=Executive_Summary!$C$9,"Refer (LR 45%-70%)",IF(L7&gt;=Executive_Summary!$C$10,"Refer (single location &gt;= $250k)","Clear")))</f>
        <v/>
      </c>
      <c r="N7" s="40">
        <f>I7</f>
        <v/>
      </c>
      <c r="O7" s="36">
        <f>Account_Routing!AB7</f>
        <v/>
      </c>
      <c r="P7" s="33">
        <f>IF(K7="Yes","List ratio is stale vs loss run; recomputed ratio used per Section 1 item 2. No Section 3 trigger.","Within 5 points of list; recomputed ratio used. No Section 3 trigger.")</f>
        <v/>
      </c>
    </row>
    <row r="8" ht="15" customHeight="1" s="23">
      <c r="A8" s="36" t="inlineStr">
        <is>
          <t>GR-2018</t>
        </is>
      </c>
      <c r="B8" s="36" t="inlineStr">
        <is>
          <t>Glenwood Terrace LLC</t>
        </is>
      </c>
      <c r="C8" s="37">
        <f>Account_Routing!D8</f>
        <v/>
      </c>
      <c r="D8" s="40">
        <f>Account_Routing!U8</f>
        <v/>
      </c>
      <c r="E8" s="36">
        <f>COUNTIF(Src_LossRun!$C$2:$C$43,A8)</f>
        <v/>
      </c>
      <c r="F8" s="37">
        <f>SUMIFS(Src_LossRun!$I$2:$I$43,Src_LossRun!$C$2:$C$43,A8)</f>
        <v/>
      </c>
      <c r="G8" s="37">
        <f>F8-H8</f>
        <v/>
      </c>
      <c r="H8" s="37">
        <f>SUMIFS(Src_LossRun!$J$2:$J$43,Src_LossRun!$C$2:$C$43,A8)</f>
        <v/>
      </c>
      <c r="I8" s="40">
        <f>H8/C8</f>
        <v/>
      </c>
      <c r="J8" s="42">
        <f>(I8-D8)*100</f>
        <v/>
      </c>
      <c r="K8" s="36">
        <f>IF(ABS(J8)&gt;5,"Yes","No")</f>
        <v/>
      </c>
      <c r="L8" s="37">
        <f>Account_Routing!W8</f>
        <v/>
      </c>
      <c r="M8" s="36">
        <f>IF(I8&gt;=Executive_Summary!$C$8,"Decline (LR &gt;= 70%)",IF(I8&gt;=Executive_Summary!$C$9,"Refer (LR 45%-70%)",IF(L8&gt;=Executive_Summary!$C$10,"Refer (single location &gt;= $250k)","Clear")))</f>
        <v/>
      </c>
      <c r="N8" s="40">
        <f>I8</f>
        <v/>
      </c>
      <c r="O8" s="36">
        <f>Account_Routing!AB8</f>
        <v/>
      </c>
      <c r="P8" s="33">
        <f>IF(K8="Yes","List ratio is stale vs loss run; recomputed ratio used per Section 1 item 2. No Section 3 trigger.","Within 5 points of list; recomputed ratio used. No Section 3 trigger.")</f>
        <v/>
      </c>
    </row>
    <row r="9" ht="15" customHeight="1" s="23">
      <c r="A9" s="36" t="inlineStr">
        <is>
          <t>GR-2021</t>
        </is>
      </c>
      <c r="B9" s="36" t="inlineStr">
        <is>
          <t>Halsted Walkup Partners</t>
        </is>
      </c>
      <c r="C9" s="37">
        <f>Account_Routing!D9</f>
        <v/>
      </c>
      <c r="D9" s="40">
        <f>Account_Routing!U9</f>
        <v/>
      </c>
      <c r="E9" s="36">
        <f>COUNTIF(Src_LossRun!$C$2:$C$43,A9)</f>
        <v/>
      </c>
      <c r="F9" s="37">
        <f>SUMIFS(Src_LossRun!$I$2:$I$43,Src_LossRun!$C$2:$C$43,A9)</f>
        <v/>
      </c>
      <c r="G9" s="37">
        <f>F9-H9</f>
        <v/>
      </c>
      <c r="H9" s="37">
        <f>SUMIFS(Src_LossRun!$J$2:$J$43,Src_LossRun!$C$2:$C$43,A9)</f>
        <v/>
      </c>
      <c r="I9" s="40">
        <f>H9/C9</f>
        <v/>
      </c>
      <c r="J9" s="42">
        <f>(I9-D9)*100</f>
        <v/>
      </c>
      <c r="K9" s="36">
        <f>IF(ABS(J9)&gt;5,"Yes","No")</f>
        <v/>
      </c>
      <c r="L9" s="37">
        <f>Account_Routing!W9</f>
        <v/>
      </c>
      <c r="M9" s="36">
        <f>IF(I9&gt;=Executive_Summary!$C$8,"Decline (LR &gt;= 70%)",IF(I9&gt;=Executive_Summary!$C$9,"Refer (LR 45%-70%)",IF(L9&gt;=Executive_Summary!$C$10,"Refer (single location &gt;= $250k)","Clear")))</f>
        <v/>
      </c>
      <c r="N9" s="40">
        <f>I9</f>
        <v/>
      </c>
      <c r="O9" s="36">
        <f>Account_Routing!AB9</f>
        <v/>
      </c>
      <c r="P9" s="33">
        <f>IF(K9="Yes","List ratio is stale vs loss run; recomputed ratio used per Section 1 item 2. No Section 3 trigger.","Within 5 points of list; recomputed ratio used. No Section 3 trigger.")</f>
        <v/>
      </c>
    </row>
    <row r="10" ht="15" customHeight="1" s="23">
      <c r="A10" s="36" t="inlineStr">
        <is>
          <t>GR-2024</t>
        </is>
      </c>
      <c r="B10" s="36" t="inlineStr">
        <is>
          <t>Irving Park Rentals Inc</t>
        </is>
      </c>
      <c r="C10" s="37">
        <f>Account_Routing!D10</f>
        <v/>
      </c>
      <c r="D10" s="40">
        <f>Account_Routing!U10</f>
        <v/>
      </c>
      <c r="E10" s="36">
        <f>COUNTIF(Src_LossRun!$C$2:$C$43,A10)</f>
        <v/>
      </c>
      <c r="F10" s="37">
        <f>SUMIFS(Src_LossRun!$I$2:$I$43,Src_LossRun!$C$2:$C$43,A10)</f>
        <v/>
      </c>
      <c r="G10" s="37">
        <f>F10-H10</f>
        <v/>
      </c>
      <c r="H10" s="37">
        <f>SUMIFS(Src_LossRun!$J$2:$J$43,Src_LossRun!$C$2:$C$43,A10)</f>
        <v/>
      </c>
      <c r="I10" s="40">
        <f>H10/C10</f>
        <v/>
      </c>
      <c r="J10" s="42">
        <f>(I10-D10)*100</f>
        <v/>
      </c>
      <c r="K10" s="36">
        <f>IF(ABS(J10)&gt;5,"Yes","No")</f>
        <v/>
      </c>
      <c r="L10" s="37">
        <f>Account_Routing!W10</f>
        <v/>
      </c>
      <c r="M10" s="36">
        <f>IF(I10&gt;=Executive_Summary!$C$8,"Decline (LR &gt;= 70%)",IF(I10&gt;=Executive_Summary!$C$9,"Refer (LR 45%-70%)",IF(L10&gt;=Executive_Summary!$C$10,"Refer (single location &gt;= $250k)","Clear")))</f>
        <v/>
      </c>
      <c r="N10" s="40">
        <f>I10</f>
        <v/>
      </c>
      <c r="O10" s="36">
        <f>Account_Routing!AB10</f>
        <v/>
      </c>
      <c r="P10" s="33">
        <f>IF(K10="Yes","List ratio is stale vs loss run; recomputed ratio used per Section 1 item 2. No Section 3 trigger.","Within 5 points of list; recomputed ratio used. No Section 3 trigger.")</f>
        <v/>
      </c>
    </row>
    <row r="11" ht="15" customHeight="1" s="23">
      <c r="A11" s="36" t="inlineStr">
        <is>
          <t>GR-2027</t>
        </is>
      </c>
      <c r="B11" s="36" t="inlineStr">
        <is>
          <t>Jefferson Grove MF LLC</t>
        </is>
      </c>
      <c r="C11" s="37">
        <f>Account_Routing!D11</f>
        <v/>
      </c>
      <c r="D11" s="40">
        <f>Account_Routing!U11</f>
        <v/>
      </c>
      <c r="E11" s="36">
        <f>COUNTIF(Src_LossRun!$C$2:$C$43,A11)</f>
        <v/>
      </c>
      <c r="F11" s="37">
        <f>SUMIFS(Src_LossRun!$I$2:$I$43,Src_LossRun!$C$2:$C$43,A11)</f>
        <v/>
      </c>
      <c r="G11" s="37">
        <f>F11-H11</f>
        <v/>
      </c>
      <c r="H11" s="37">
        <f>SUMIFS(Src_LossRun!$J$2:$J$43,Src_LossRun!$C$2:$C$43,A11)</f>
        <v/>
      </c>
      <c r="I11" s="40">
        <f>H11/C11</f>
        <v/>
      </c>
      <c r="J11" s="42">
        <f>(I11-D11)*100</f>
        <v/>
      </c>
      <c r="K11" s="36">
        <f>IF(ABS(J11)&gt;5,"Yes","No")</f>
        <v/>
      </c>
      <c r="L11" s="37">
        <f>Account_Routing!W11</f>
        <v/>
      </c>
      <c r="M11" s="36">
        <f>IF(I11&gt;=Executive_Summary!$C$8,"Decline (LR &gt;= 70%)",IF(I11&gt;=Executive_Summary!$C$9,"Refer (LR 45%-70%)",IF(L11&gt;=Executive_Summary!$C$10,"Refer (single location &gt;= $250k)","Clear")))</f>
        <v/>
      </c>
      <c r="N11" s="40">
        <f>I11</f>
        <v/>
      </c>
      <c r="O11" s="36">
        <f>Account_Routing!AB11</f>
        <v/>
      </c>
      <c r="P11" s="33">
        <f>IF(K11="Yes","List ratio is stale vs loss run; recomputed ratio used per Section 1 item 2. No Section 3 trigger.","Within 5 points of list; recomputed ratio used. No Section 3 trigger.")</f>
        <v/>
      </c>
    </row>
    <row r="12" ht="15" customHeight="1" s="23">
      <c r="A12" s="36" t="inlineStr">
        <is>
          <t>GR-2030</t>
        </is>
      </c>
      <c r="B12" s="36" t="inlineStr">
        <is>
          <t>Kenwood Station Apts</t>
        </is>
      </c>
      <c r="C12" s="37">
        <f>Account_Routing!D12</f>
        <v/>
      </c>
      <c r="D12" s="40">
        <f>Account_Routing!U12</f>
        <v/>
      </c>
      <c r="E12" s="36">
        <f>COUNTIF(Src_LossRun!$C$2:$C$43,A12)</f>
        <v/>
      </c>
      <c r="F12" s="37">
        <f>SUMIFS(Src_LossRun!$I$2:$I$43,Src_LossRun!$C$2:$C$43,A12)</f>
        <v/>
      </c>
      <c r="G12" s="37">
        <f>F12-H12</f>
        <v/>
      </c>
      <c r="H12" s="37">
        <f>SUMIFS(Src_LossRun!$J$2:$J$43,Src_LossRun!$C$2:$C$43,A12)</f>
        <v/>
      </c>
      <c r="I12" s="40">
        <f>H12/C12</f>
        <v/>
      </c>
      <c r="J12" s="42">
        <f>(I12-D12)*100</f>
        <v/>
      </c>
      <c r="K12" s="36">
        <f>IF(ABS(J12)&gt;5,"Yes","No")</f>
        <v/>
      </c>
      <c r="L12" s="37">
        <f>Account_Routing!W12</f>
        <v/>
      </c>
      <c r="M12" s="36">
        <f>IF(I12&gt;=Executive_Summary!$C$8,"Decline (LR &gt;= 70%)",IF(I12&gt;=Executive_Summary!$C$9,"Refer (LR 45%-70%)",IF(L12&gt;=Executive_Summary!$C$10,"Refer (single location &gt;= $250k)","Clear")))</f>
        <v/>
      </c>
      <c r="N12" s="40">
        <f>I12</f>
        <v/>
      </c>
      <c r="O12" s="36">
        <f>Account_Routing!AB12</f>
        <v/>
      </c>
      <c r="P12" s="33">
        <f>IF(K12="Yes","List ratio is stale vs loss run; recomputed ratio used per Section 1 item 2. No Section 3 trigger.","Within 5 points of list; recomputed ratio used. No Section 3 trigger.")</f>
        <v/>
      </c>
    </row>
    <row r="13" ht="15" customHeight="1" s="23">
      <c r="A13" s="36" t="inlineStr">
        <is>
          <t>GR-2033</t>
        </is>
      </c>
      <c r="B13" s="36" t="inlineStr">
        <is>
          <t>Lincolnwood Place LLC</t>
        </is>
      </c>
      <c r="C13" s="37">
        <f>Account_Routing!D13</f>
        <v/>
      </c>
      <c r="D13" s="40">
        <f>Account_Routing!U13</f>
        <v/>
      </c>
      <c r="E13" s="36">
        <f>COUNTIF(Src_LossRun!$C$2:$C$43,A13)</f>
        <v/>
      </c>
      <c r="F13" s="37">
        <f>SUMIFS(Src_LossRun!$I$2:$I$43,Src_LossRun!$C$2:$C$43,A13)</f>
        <v/>
      </c>
      <c r="G13" s="37">
        <f>F13-H13</f>
        <v/>
      </c>
      <c r="H13" s="37">
        <f>SUMIFS(Src_LossRun!$J$2:$J$43,Src_LossRun!$C$2:$C$43,A13)</f>
        <v/>
      </c>
      <c r="I13" s="40">
        <f>H13/C13</f>
        <v/>
      </c>
      <c r="J13" s="42">
        <f>(I13-D13)*100</f>
        <v/>
      </c>
      <c r="K13" s="36">
        <f>IF(ABS(J13)&gt;5,"Yes","No")</f>
        <v/>
      </c>
      <c r="L13" s="37">
        <f>Account_Routing!W13</f>
        <v/>
      </c>
      <c r="M13" s="36">
        <f>IF(I13&gt;=Executive_Summary!$C$8,"Decline (LR &gt;= 70%)",IF(I13&gt;=Executive_Summary!$C$9,"Refer (LR 45%-70%)",IF(L13&gt;=Executive_Summary!$C$10,"Refer (single location &gt;= $250k)","Clear")))</f>
        <v/>
      </c>
      <c r="N13" s="40">
        <f>I13</f>
        <v/>
      </c>
      <c r="O13" s="36">
        <f>Account_Routing!AB13</f>
        <v/>
      </c>
      <c r="P13" s="33">
        <f>IF(K13="Yes","List ratio is stale vs loss run; recomputed ratio used per Section 1 item 2. No Section 3 trigger.","Within 5 points of list; recomputed ratio used. No Section 3 trigger.")</f>
        <v/>
      </c>
    </row>
    <row r="14" ht="15" customHeight="1" s="23">
      <c r="A14" s="36" t="inlineStr">
        <is>
          <t>GR-2036</t>
        </is>
      </c>
      <c r="B14" s="36" t="inlineStr">
        <is>
          <t>Monon Trail Residences</t>
        </is>
      </c>
      <c r="C14" s="37">
        <f>Account_Routing!D14</f>
        <v/>
      </c>
      <c r="D14" s="40">
        <f>Account_Routing!U14</f>
        <v/>
      </c>
      <c r="E14" s="36">
        <f>COUNTIF(Src_LossRun!$C$2:$C$43,A14)</f>
        <v/>
      </c>
      <c r="F14" s="37">
        <f>SUMIFS(Src_LossRun!$I$2:$I$43,Src_LossRun!$C$2:$C$43,A14)</f>
        <v/>
      </c>
      <c r="G14" s="37">
        <f>F14-H14</f>
        <v/>
      </c>
      <c r="H14" s="37">
        <f>SUMIFS(Src_LossRun!$J$2:$J$43,Src_LossRun!$C$2:$C$43,A14)</f>
        <v/>
      </c>
      <c r="I14" s="40">
        <f>H14/C14</f>
        <v/>
      </c>
      <c r="J14" s="42">
        <f>(I14-D14)*100</f>
        <v/>
      </c>
      <c r="K14" s="36">
        <f>IF(ABS(J14)&gt;5,"Yes","No")</f>
        <v/>
      </c>
      <c r="L14" s="37">
        <f>Account_Routing!W14</f>
        <v/>
      </c>
      <c r="M14" s="36">
        <f>IF(I14&gt;=Executive_Summary!$C$8,"Decline (LR &gt;= 70%)",IF(I14&gt;=Executive_Summary!$C$9,"Refer (LR 45%-70%)",IF(L14&gt;=Executive_Summary!$C$10,"Refer (single location &gt;= $250k)","Clear")))</f>
        <v/>
      </c>
      <c r="N14" s="40">
        <f>I14</f>
        <v/>
      </c>
      <c r="O14" s="36">
        <f>Account_Routing!AB14</f>
        <v/>
      </c>
      <c r="P14" s="33">
        <f>IF(K14="Yes","List ratio is stale vs loss run; recomputed ratio used per Section 1 item 2. No Section 3 trigger.","Within 5 points of list; recomputed ratio used. No Section 3 trigger.")</f>
        <v/>
      </c>
    </row>
    <row r="15" ht="15" customHeight="1" s="23">
      <c r="A15" s="36" t="inlineStr">
        <is>
          <t>GR-2039</t>
        </is>
      </c>
      <c r="B15" s="36" t="inlineStr">
        <is>
          <t>Norwood Court Apts</t>
        </is>
      </c>
      <c r="C15" s="37">
        <f>Account_Routing!D15</f>
        <v/>
      </c>
      <c r="D15" s="40">
        <f>Account_Routing!U15</f>
        <v/>
      </c>
      <c r="E15" s="36">
        <f>COUNTIF(Src_LossRun!$C$2:$C$43,A15)</f>
        <v/>
      </c>
      <c r="F15" s="37">
        <f>SUMIFS(Src_LossRun!$I$2:$I$43,Src_LossRun!$C$2:$C$43,A15)</f>
        <v/>
      </c>
      <c r="G15" s="37">
        <f>F15-H15</f>
        <v/>
      </c>
      <c r="H15" s="37">
        <f>SUMIFS(Src_LossRun!$J$2:$J$43,Src_LossRun!$C$2:$C$43,A15)</f>
        <v/>
      </c>
      <c r="I15" s="40">
        <f>H15/C15</f>
        <v/>
      </c>
      <c r="J15" s="42">
        <f>(I15-D15)*100</f>
        <v/>
      </c>
      <c r="K15" s="36">
        <f>IF(ABS(J15)&gt;5,"Yes","No")</f>
        <v/>
      </c>
      <c r="L15" s="37">
        <f>Account_Routing!W15</f>
        <v/>
      </c>
      <c r="M15" s="36">
        <f>IF(I15&gt;=Executive_Summary!$C$8,"Decline (LR &gt;= 70%)",IF(I15&gt;=Executive_Summary!$C$9,"Refer (LR 45%-70%)",IF(L15&gt;=Executive_Summary!$C$10,"Refer (single location &gt;= $250k)","Clear")))</f>
        <v/>
      </c>
      <c r="N15" s="40">
        <f>I15</f>
        <v/>
      </c>
      <c r="O15" s="36">
        <f>Account_Routing!AB15</f>
        <v/>
      </c>
      <c r="P15" s="33">
        <f>IF(K15="Yes","List ratio is stale vs loss run; recomputed ratio used per Section 1 item 2. No Section 3 trigger.","Within 5 points of list; recomputed ratio used. No Section 3 trigger.")</f>
        <v/>
      </c>
    </row>
    <row r="16" ht="15" customHeight="1" s="23">
      <c r="A16" s="36" t="inlineStr">
        <is>
          <t>GR-2042</t>
        </is>
      </c>
      <c r="B16" s="36" t="inlineStr">
        <is>
          <t>Ottawa River Flats</t>
        </is>
      </c>
      <c r="C16" s="37">
        <f>Account_Routing!D16</f>
        <v/>
      </c>
      <c r="D16" s="40">
        <f>Account_Routing!U16</f>
        <v/>
      </c>
      <c r="E16" s="36">
        <f>COUNTIF(Src_LossRun!$C$2:$C$43,A16)</f>
        <v/>
      </c>
      <c r="F16" s="37">
        <f>SUMIFS(Src_LossRun!$I$2:$I$43,Src_LossRun!$C$2:$C$43,A16)</f>
        <v/>
      </c>
      <c r="G16" s="37">
        <f>F16-H16</f>
        <v/>
      </c>
      <c r="H16" s="37">
        <f>SUMIFS(Src_LossRun!$J$2:$J$43,Src_LossRun!$C$2:$C$43,A16)</f>
        <v/>
      </c>
      <c r="I16" s="40">
        <f>H16/C16</f>
        <v/>
      </c>
      <c r="J16" s="42">
        <f>(I16-D16)*100</f>
        <v/>
      </c>
      <c r="K16" s="36">
        <f>IF(ABS(J16)&gt;5,"Yes","No")</f>
        <v/>
      </c>
      <c r="L16" s="37">
        <f>Account_Routing!W16</f>
        <v/>
      </c>
      <c r="M16" s="36">
        <f>IF(I16&gt;=Executive_Summary!$C$8,"Decline (LR &gt;= 70%)",IF(I16&gt;=Executive_Summary!$C$9,"Refer (LR 45%-70%)",IF(L16&gt;=Executive_Summary!$C$10,"Refer (single location &gt;= $250k)","Clear")))</f>
        <v/>
      </c>
      <c r="N16" s="40">
        <f>I16</f>
        <v/>
      </c>
      <c r="O16" s="36">
        <f>Account_Routing!AB16</f>
        <v/>
      </c>
      <c r="P16" s="33">
        <f>IF(K16="Yes","List ratio is stale vs loss run; recomputed ratio used per Section 1 item 2. No Section 3 trigger.","Within 5 points of list; recomputed ratio used. No Section 3 trigger.")</f>
        <v/>
      </c>
    </row>
    <row r="17" ht="15" customHeight="1" s="23">
      <c r="A17" s="36" t="inlineStr">
        <is>
          <t>GR-2045</t>
        </is>
      </c>
      <c r="B17" s="36" t="inlineStr">
        <is>
          <t>Pullman Yard Housing</t>
        </is>
      </c>
      <c r="C17" s="37">
        <f>Account_Routing!D17</f>
        <v/>
      </c>
      <c r="D17" s="40">
        <f>Account_Routing!U17</f>
        <v/>
      </c>
      <c r="E17" s="36">
        <f>COUNTIF(Src_LossRun!$C$2:$C$43,A17)</f>
        <v/>
      </c>
      <c r="F17" s="37">
        <f>SUMIFS(Src_LossRun!$I$2:$I$43,Src_LossRun!$C$2:$C$43,A17)</f>
        <v/>
      </c>
      <c r="G17" s="37">
        <f>F17-H17</f>
        <v/>
      </c>
      <c r="H17" s="37">
        <f>SUMIFS(Src_LossRun!$J$2:$J$43,Src_LossRun!$C$2:$C$43,A17)</f>
        <v/>
      </c>
      <c r="I17" s="40">
        <f>H17/C17</f>
        <v/>
      </c>
      <c r="J17" s="42">
        <f>(I17-D17)*100</f>
        <v/>
      </c>
      <c r="K17" s="36">
        <f>IF(ABS(J17)&gt;5,"Yes","No")</f>
        <v/>
      </c>
      <c r="L17" s="37">
        <f>Account_Routing!W17</f>
        <v/>
      </c>
      <c r="M17" s="36">
        <f>IF(I17&gt;=Executive_Summary!$C$8,"Decline (LR &gt;= 70%)",IF(I17&gt;=Executive_Summary!$C$9,"Refer (LR 45%-70%)",IF(L17&gt;=Executive_Summary!$C$10,"Refer (single location &gt;= $250k)","Clear")))</f>
        <v/>
      </c>
      <c r="N17" s="40">
        <f>I17</f>
        <v/>
      </c>
      <c r="O17" s="36">
        <f>Account_Routing!AB17</f>
        <v/>
      </c>
      <c r="P17" s="33">
        <f>IF(K17="Yes","List ratio is stale vs loss run; recomputed ratio used per Section 1 item 2. No Section 3 trigger.","Within 5 points of list; recomputed ratio used. No Section 3 trigger.")</f>
        <v/>
      </c>
    </row>
    <row r="18" ht="15" customHeight="1" s="23">
      <c r="A18" s="36" t="inlineStr">
        <is>
          <t>GR-2047</t>
        </is>
      </c>
      <c r="B18" s="36" t="inlineStr">
        <is>
          <t>Quincy Street Apts LLC</t>
        </is>
      </c>
      <c r="C18" s="37">
        <f>Account_Routing!D18</f>
        <v/>
      </c>
      <c r="D18" s="40">
        <f>Account_Routing!U18</f>
        <v/>
      </c>
      <c r="E18" s="36">
        <f>COUNTIF(Src_LossRun!$C$2:$C$43,A18)</f>
        <v/>
      </c>
      <c r="F18" s="37">
        <f>SUMIFS(Src_LossRun!$I$2:$I$43,Src_LossRun!$C$2:$C$43,A18)</f>
        <v/>
      </c>
      <c r="G18" s="37">
        <f>F18-H18</f>
        <v/>
      </c>
      <c r="H18" s="37">
        <f>SUMIFS(Src_LossRun!$J$2:$J$43,Src_LossRun!$C$2:$C$43,A18)</f>
        <v/>
      </c>
      <c r="I18" s="40">
        <f>H18/C18</f>
        <v/>
      </c>
      <c r="J18" s="42">
        <f>(I18-D18)*100</f>
        <v/>
      </c>
      <c r="K18" s="36">
        <f>IF(ABS(J18)&gt;5,"Yes","No")</f>
        <v/>
      </c>
      <c r="L18" s="37">
        <f>Account_Routing!W18</f>
        <v/>
      </c>
      <c r="M18" s="36">
        <f>IF(I18&gt;=Executive_Summary!$C$8,"Decline (LR &gt;= 70%)",IF(I18&gt;=Executive_Summary!$C$9,"Refer (LR 45%-70%)",IF(L18&gt;=Executive_Summary!$C$10,"Refer (single location &gt;= $250k)","Clear")))</f>
        <v/>
      </c>
      <c r="N18" s="40">
        <f>I18</f>
        <v/>
      </c>
      <c r="O18" s="36">
        <f>Account_Routing!AB18</f>
        <v/>
      </c>
      <c r="P18" s="33">
        <f>IF(K18="Yes","List ratio is stale vs loss run; recomputed ratio used per Section 1 item 2. No Section 3 trigger.","Within 5 points of list; recomputed ratio used. No Section 3 trigger.")</f>
        <v/>
      </c>
    </row>
    <row r="19" ht="15" customHeight="1" s="23">
      <c r="A19" s="36" t="inlineStr">
        <is>
          <t>GR-2050</t>
        </is>
      </c>
      <c r="B19" s="36" t="inlineStr">
        <is>
          <t>Ravenswood Arms Co.</t>
        </is>
      </c>
      <c r="C19" s="37">
        <f>Account_Routing!D19</f>
        <v/>
      </c>
      <c r="D19" s="40">
        <f>Account_Routing!U19</f>
        <v/>
      </c>
      <c r="E19" s="36">
        <f>COUNTIF(Src_LossRun!$C$2:$C$43,A19)</f>
        <v/>
      </c>
      <c r="F19" s="37">
        <f>SUMIFS(Src_LossRun!$I$2:$I$43,Src_LossRun!$C$2:$C$43,A19)</f>
        <v/>
      </c>
      <c r="G19" s="37">
        <f>F19-H19</f>
        <v/>
      </c>
      <c r="H19" s="37">
        <f>SUMIFS(Src_LossRun!$J$2:$J$43,Src_LossRun!$C$2:$C$43,A19)</f>
        <v/>
      </c>
      <c r="I19" s="40">
        <f>H19/C19</f>
        <v/>
      </c>
      <c r="J19" s="42">
        <f>(I19-D19)*100</f>
        <v/>
      </c>
      <c r="K19" s="36">
        <f>IF(ABS(J19)&gt;5,"Yes","No")</f>
        <v/>
      </c>
      <c r="L19" s="37">
        <f>Account_Routing!W19</f>
        <v/>
      </c>
      <c r="M19" s="36">
        <f>IF(I19&gt;=Executive_Summary!$C$8,"Decline (LR &gt;= 70%)",IF(I19&gt;=Executive_Summary!$C$9,"Refer (LR 45%-70%)",IF(L19&gt;=Executive_Summary!$C$10,"Refer (single location &gt;= $250k)","Clear")))</f>
        <v/>
      </c>
      <c r="N19" s="40">
        <f>I19</f>
        <v/>
      </c>
      <c r="O19" s="36">
        <f>Account_Routing!AB19</f>
        <v/>
      </c>
      <c r="P19" s="33">
        <f>IF(K19="Yes","List ratio is stale vs loss run; recomputed ratio used per Section 1 item 2. No Section 3 trigger.","Within 5 points of list; recomputed ratio used. No Section 3 trigger.")</f>
        <v/>
      </c>
    </row>
    <row r="20" ht="15" customHeight="1" s="23">
      <c r="A20" s="36" t="inlineStr">
        <is>
          <t>GR-2053</t>
        </is>
      </c>
      <c r="B20" s="36" t="inlineStr">
        <is>
          <t>Southport Lane LLC</t>
        </is>
      </c>
      <c r="C20" s="37">
        <f>Account_Routing!D20</f>
        <v/>
      </c>
      <c r="D20" s="40">
        <f>Account_Routing!U20</f>
        <v/>
      </c>
      <c r="E20" s="36">
        <f>COUNTIF(Src_LossRun!$C$2:$C$43,A20)</f>
        <v/>
      </c>
      <c r="F20" s="37">
        <f>SUMIFS(Src_LossRun!$I$2:$I$43,Src_LossRun!$C$2:$C$43,A20)</f>
        <v/>
      </c>
      <c r="G20" s="37">
        <f>F20-H20</f>
        <v/>
      </c>
      <c r="H20" s="37">
        <f>SUMIFS(Src_LossRun!$J$2:$J$43,Src_LossRun!$C$2:$C$43,A20)</f>
        <v/>
      </c>
      <c r="I20" s="40">
        <f>H20/C20</f>
        <v/>
      </c>
      <c r="J20" s="42">
        <f>(I20-D20)*100</f>
        <v/>
      </c>
      <c r="K20" s="36">
        <f>IF(ABS(J20)&gt;5,"Yes","No")</f>
        <v/>
      </c>
      <c r="L20" s="37">
        <f>Account_Routing!W20</f>
        <v/>
      </c>
      <c r="M20" s="36">
        <f>IF(I20&gt;=Executive_Summary!$C$8,"Decline (LR &gt;= 70%)",IF(I20&gt;=Executive_Summary!$C$9,"Refer (LR 45%-70%)",IF(L20&gt;=Executive_Summary!$C$10,"Refer (single location &gt;= $250k)","Clear")))</f>
        <v/>
      </c>
      <c r="N20" s="40">
        <f>I20</f>
        <v/>
      </c>
      <c r="O20" s="36">
        <f>Account_Routing!AB20</f>
        <v/>
      </c>
      <c r="P20" s="33">
        <f>IF(K20="Yes","List ratio is stale vs loss run; recomputed ratio used per Section 1 item 2. No Section 3 trigger.","Within 5 points of list; recomputed ratio used. No Section 3 trigger.")</f>
        <v/>
      </c>
    </row>
    <row r="21" ht="15" customHeight="1" s="23">
      <c r="A21" s="36" t="inlineStr">
        <is>
          <t>GR-2056</t>
        </is>
      </c>
      <c r="B21" s="36" t="inlineStr">
        <is>
          <t>Troy Hill Apartments</t>
        </is>
      </c>
      <c r="C21" s="37">
        <f>Account_Routing!D21</f>
        <v/>
      </c>
      <c r="D21" s="40">
        <f>Account_Routing!U21</f>
        <v/>
      </c>
      <c r="E21" s="36">
        <f>COUNTIF(Src_LossRun!$C$2:$C$43,A21)</f>
        <v/>
      </c>
      <c r="F21" s="37">
        <f>SUMIFS(Src_LossRun!$I$2:$I$43,Src_LossRun!$C$2:$C$43,A21)</f>
        <v/>
      </c>
      <c r="G21" s="37">
        <f>F21-H21</f>
        <v/>
      </c>
      <c r="H21" s="37">
        <f>SUMIFS(Src_LossRun!$J$2:$J$43,Src_LossRun!$C$2:$C$43,A21)</f>
        <v/>
      </c>
      <c r="I21" s="40">
        <f>H21/C21</f>
        <v/>
      </c>
      <c r="J21" s="42">
        <f>(I21-D21)*100</f>
        <v/>
      </c>
      <c r="K21" s="36">
        <f>IF(ABS(J21)&gt;5,"Yes","No")</f>
        <v/>
      </c>
      <c r="L21" s="37">
        <f>Account_Routing!W21</f>
        <v/>
      </c>
      <c r="M21" s="36">
        <f>IF(I21&gt;=Executive_Summary!$C$8,"Decline (LR &gt;= 70%)",IF(I21&gt;=Executive_Summary!$C$9,"Refer (LR 45%-70%)",IF(L21&gt;=Executive_Summary!$C$10,"Refer (single location &gt;= $250k)","Clear")))</f>
        <v/>
      </c>
      <c r="N21" s="40">
        <f>I21</f>
        <v/>
      </c>
      <c r="O21" s="36">
        <f>Account_Routing!AB21</f>
        <v/>
      </c>
      <c r="P21" s="33">
        <f>IF(K21="Yes","List ratio is stale vs loss run; recomputed ratio used per Section 1 item 2. No Section 3 trigger.","Within 5 points of list; recomputed ratio used. No Section 3 trigger.")</f>
        <v/>
      </c>
    </row>
    <row r="22" ht="15" customHeight="1" s="23">
      <c r="A22" s="36" t="inlineStr">
        <is>
          <t>GR-2059</t>
        </is>
      </c>
      <c r="B22" s="36" t="inlineStr">
        <is>
          <t>Union Depot Lofts LLC</t>
        </is>
      </c>
      <c r="C22" s="37">
        <f>Account_Routing!D22</f>
        <v/>
      </c>
      <c r="D22" s="40">
        <f>Account_Routing!U22</f>
        <v/>
      </c>
      <c r="E22" s="36">
        <f>COUNTIF(Src_LossRun!$C$2:$C$43,A22)</f>
        <v/>
      </c>
      <c r="F22" s="37">
        <f>SUMIFS(Src_LossRun!$I$2:$I$43,Src_LossRun!$C$2:$C$43,A22)</f>
        <v/>
      </c>
      <c r="G22" s="37">
        <f>F22-H22</f>
        <v/>
      </c>
      <c r="H22" s="37">
        <f>SUMIFS(Src_LossRun!$J$2:$J$43,Src_LossRun!$C$2:$C$43,A22)</f>
        <v/>
      </c>
      <c r="I22" s="40">
        <f>H22/C22</f>
        <v/>
      </c>
      <c r="J22" s="42">
        <f>(I22-D22)*100</f>
        <v/>
      </c>
      <c r="K22" s="36">
        <f>IF(ABS(J22)&gt;5,"Yes","No")</f>
        <v/>
      </c>
      <c r="L22" s="37">
        <f>Account_Routing!W22</f>
        <v/>
      </c>
      <c r="M22" s="36">
        <f>IF(I22&gt;=Executive_Summary!$C$8,"Decline (LR &gt;= 70%)",IF(I22&gt;=Executive_Summary!$C$9,"Refer (LR 45%-70%)",IF(L22&gt;=Executive_Summary!$C$10,"Refer (single location &gt;= $250k)","Clear")))</f>
        <v/>
      </c>
      <c r="N22" s="40">
        <f>I22</f>
        <v/>
      </c>
      <c r="O22" s="36">
        <f>Account_Routing!AB22</f>
        <v/>
      </c>
      <c r="P22" s="33">
        <f>IF(K22="Yes","List ratio is stale vs loss run; recomputed ratio used per Section 1 item 2. No Section 3 trigger.","Within 5 points of list; recomputed ratio used. No Section 3 trigger.")</f>
        <v/>
      </c>
    </row>
    <row r="23" ht="15" customHeight="1" s="23">
      <c r="A23" s="36" t="inlineStr">
        <is>
          <t>GR-2062</t>
        </is>
      </c>
      <c r="B23" s="36" t="inlineStr">
        <is>
          <t>Vernon Park Residences</t>
        </is>
      </c>
      <c r="C23" s="37">
        <f>Account_Routing!D23</f>
        <v/>
      </c>
      <c r="D23" s="40">
        <f>Account_Routing!U23</f>
        <v/>
      </c>
      <c r="E23" s="36">
        <f>COUNTIF(Src_LossRun!$C$2:$C$43,A23)</f>
        <v/>
      </c>
      <c r="F23" s="37">
        <f>SUMIFS(Src_LossRun!$I$2:$I$43,Src_LossRun!$C$2:$C$43,A23)</f>
        <v/>
      </c>
      <c r="G23" s="37">
        <f>F23-H23</f>
        <v/>
      </c>
      <c r="H23" s="37">
        <f>SUMIFS(Src_LossRun!$J$2:$J$43,Src_LossRun!$C$2:$C$43,A23)</f>
        <v/>
      </c>
      <c r="I23" s="40">
        <f>H23/C23</f>
        <v/>
      </c>
      <c r="J23" s="42">
        <f>(I23-D23)*100</f>
        <v/>
      </c>
      <c r="K23" s="36">
        <f>IF(ABS(J23)&gt;5,"Yes","No")</f>
        <v/>
      </c>
      <c r="L23" s="37">
        <f>Account_Routing!W23</f>
        <v/>
      </c>
      <c r="M23" s="36">
        <f>IF(I23&gt;=Executive_Summary!$C$8,"Decline (LR &gt;= 70%)",IF(I23&gt;=Executive_Summary!$C$9,"Refer (LR 45%-70%)",IF(L23&gt;=Executive_Summary!$C$10,"Refer (single location &gt;= $250k)","Clear")))</f>
        <v/>
      </c>
      <c r="N23" s="40">
        <f>I23</f>
        <v/>
      </c>
      <c r="O23" s="36">
        <f>Account_Routing!AB23</f>
        <v/>
      </c>
      <c r="P23" s="33">
        <f>IF(K23="Yes","List ratio is stale vs loss run; recomputed ratio used per Section 1 item 2. No Section 3 trigger.","Within 5 points of list; recomputed ratio used. No Section 3 trigger.")</f>
        <v/>
      </c>
    </row>
    <row r="24" ht="15" customHeight="1" s="23">
      <c r="A24" s="36" t="inlineStr">
        <is>
          <t>GR-2065</t>
        </is>
      </c>
      <c r="B24" s="36" t="inlineStr">
        <is>
          <t>Campus Edge Housing Co.</t>
        </is>
      </c>
      <c r="C24" s="37">
        <f>Account_Routing!D24</f>
        <v/>
      </c>
      <c r="D24" s="40">
        <f>Account_Routing!U24</f>
        <v/>
      </c>
      <c r="E24" s="36">
        <f>COUNTIF(Src_LossRun!$C$2:$C$43,A24)</f>
        <v/>
      </c>
      <c r="F24" s="37">
        <f>SUMIFS(Src_LossRun!$I$2:$I$43,Src_LossRun!$C$2:$C$43,A24)</f>
        <v/>
      </c>
      <c r="G24" s="37">
        <f>F24-H24</f>
        <v/>
      </c>
      <c r="H24" s="37">
        <f>SUMIFS(Src_LossRun!$J$2:$J$43,Src_LossRun!$C$2:$C$43,A24)</f>
        <v/>
      </c>
      <c r="I24" s="40">
        <f>H24/C24</f>
        <v/>
      </c>
      <c r="J24" s="42">
        <f>(I24-D24)*100</f>
        <v/>
      </c>
      <c r="K24" s="36">
        <f>IF(ABS(J24)&gt;5,"Yes","No")</f>
        <v/>
      </c>
      <c r="L24" s="37">
        <f>Account_Routing!W24</f>
        <v/>
      </c>
      <c r="M24" s="36">
        <f>IF(I24&gt;=Executive_Summary!$C$8,"Decline (LR &gt;= 70%)",IF(I24&gt;=Executive_Summary!$C$9,"Refer (LR 45%-70%)",IF(L24&gt;=Executive_Summary!$C$10,"Refer (single location &gt;= $250k)","Clear")))</f>
        <v/>
      </c>
      <c r="N24" s="40">
        <f>I24</f>
        <v/>
      </c>
      <c r="O24" s="36">
        <f>Account_Routing!AB24</f>
        <v/>
      </c>
      <c r="P24" s="33">
        <f>IF(K24="Yes","List ratio is stale vs loss run; recomputed ratio used per Section 1 item 2. No Section 3 trigger.","Within 5 points of list; recomputed ratio used. No Section 3 trigger.")</f>
        <v/>
      </c>
    </row>
    <row r="25" ht="15" customHeight="1" s="23">
      <c r="A25" s="36" t="inlineStr">
        <is>
          <t>GR-2068</t>
        </is>
      </c>
      <c r="B25" s="36" t="inlineStr">
        <is>
          <t>Westchester Court LLC</t>
        </is>
      </c>
      <c r="C25" s="37">
        <f>Account_Routing!D25</f>
        <v/>
      </c>
      <c r="D25" s="40">
        <f>Account_Routing!U25</f>
        <v/>
      </c>
      <c r="E25" s="36">
        <f>COUNTIF(Src_LossRun!$C$2:$C$43,A25)</f>
        <v/>
      </c>
      <c r="F25" s="37">
        <f>SUMIFS(Src_LossRun!$I$2:$I$43,Src_LossRun!$C$2:$C$43,A25)</f>
        <v/>
      </c>
      <c r="G25" s="37">
        <f>F25-H25</f>
        <v/>
      </c>
      <c r="H25" s="37">
        <f>SUMIFS(Src_LossRun!$J$2:$J$43,Src_LossRun!$C$2:$C$43,A25)</f>
        <v/>
      </c>
      <c r="I25" s="40">
        <f>H25/C25</f>
        <v/>
      </c>
      <c r="J25" s="42">
        <f>(I25-D25)*100</f>
        <v/>
      </c>
      <c r="K25" s="36">
        <f>IF(ABS(J25)&gt;5,"Yes","No")</f>
        <v/>
      </c>
      <c r="L25" s="37">
        <f>Account_Routing!W25</f>
        <v/>
      </c>
      <c r="M25" s="36">
        <f>IF(I25&gt;=Executive_Summary!$C$8,"Decline (LR &gt;= 70%)",IF(I25&gt;=Executive_Summary!$C$9,"Refer (LR 45%-70%)",IF(L25&gt;=Executive_Summary!$C$10,"Refer (single location &gt;= $250k)","Clear")))</f>
        <v/>
      </c>
      <c r="N25" s="40">
        <f>I25</f>
        <v/>
      </c>
      <c r="O25" s="36">
        <f>Account_Routing!AB25</f>
        <v/>
      </c>
      <c r="P25" s="33">
        <f>IF(K25="Yes","List ratio is stale vs loss run; recomputed ratio used per Section 1 item 2. No Section 3 trigger.","Within 5 points of list; recomputed ratio used. No Section 3 trigger.")</f>
        <v/>
      </c>
    </row>
    <row r="26" ht="23.85" customHeight="1" s="23">
      <c r="A26" s="36" t="inlineStr">
        <is>
          <t>GR-2071</t>
        </is>
      </c>
      <c r="B26" s="36" t="inlineStr">
        <is>
          <t>Buckeye Garden Apts LLC</t>
        </is>
      </c>
      <c r="C26" s="37">
        <f>Account_Routing!D26</f>
        <v/>
      </c>
      <c r="D26" s="40">
        <f>Account_Routing!U26</f>
        <v/>
      </c>
      <c r="E26" s="36">
        <f>COUNTIF(Src_LossRun!$C$2:$C$43,A26)</f>
        <v/>
      </c>
      <c r="F26" s="37">
        <f>SUMIFS(Src_LossRun!$I$2:$I$43,Src_LossRun!$C$2:$C$43,A26)</f>
        <v/>
      </c>
      <c r="G26" s="37">
        <f>F26-H26</f>
        <v/>
      </c>
      <c r="H26" s="37">
        <f>SUMIFS(Src_LossRun!$J$2:$J$43,Src_LossRun!$C$2:$C$43,A26)</f>
        <v/>
      </c>
      <c r="I26" s="40">
        <f>H26/C26</f>
        <v/>
      </c>
      <c r="J26" s="42">
        <f>(I26-D26)*100</f>
        <v/>
      </c>
      <c r="K26" s="36">
        <f>IF(ABS(J26)&gt;5,"Yes","No")</f>
        <v/>
      </c>
      <c r="L26" s="37">
        <f>Account_Routing!W26</f>
        <v/>
      </c>
      <c r="M26" s="36">
        <f>IF(I26&gt;=Executive_Summary!$C$8,"Decline (LR &gt;= 70%)",IF(I26&gt;=Executive_Summary!$C$9,"Refer (LR 45%-70%)",IF(L26&gt;=Executive_Summary!$C$10,"Refer (single location &gt;= $250k)","Clear")))</f>
        <v/>
      </c>
      <c r="N26" s="40">
        <f>I26</f>
        <v/>
      </c>
      <c r="O26" s="36">
        <f>Account_Routing!AB26</f>
        <v/>
      </c>
      <c r="P26" s="33" t="inlineStr">
        <is>
          <t>Cat-coded CAT-2408 loss ($284,600) excluded per Section 9; attritional LR unchanged from routing view. Would be Refer on single-location test if CUO memo GRP-CAT-2025-03 applied (memo not in package).</t>
        </is>
      </c>
    </row>
    <row r="27" ht="15" customHeight="1" s="23">
      <c r="A27" s="36" t="inlineStr">
        <is>
          <t>GR-2074</t>
        </is>
      </c>
      <c r="B27" s="36" t="inlineStr">
        <is>
          <t>Yorktown Flats LLC</t>
        </is>
      </c>
      <c r="C27" s="37">
        <f>Account_Routing!D27</f>
        <v/>
      </c>
      <c r="D27" s="40">
        <f>Account_Routing!U27</f>
        <v/>
      </c>
      <c r="E27" s="36">
        <f>COUNTIF(Src_LossRun!$C$2:$C$43,A27)</f>
        <v/>
      </c>
      <c r="F27" s="37">
        <f>SUMIFS(Src_LossRun!$I$2:$I$43,Src_LossRun!$C$2:$C$43,A27)</f>
        <v/>
      </c>
      <c r="G27" s="37">
        <f>F27-H27</f>
        <v/>
      </c>
      <c r="H27" s="37">
        <f>SUMIFS(Src_LossRun!$J$2:$J$43,Src_LossRun!$C$2:$C$43,A27)</f>
        <v/>
      </c>
      <c r="I27" s="40">
        <f>H27/C27</f>
        <v/>
      </c>
      <c r="J27" s="42">
        <f>(I27-D27)*100</f>
        <v/>
      </c>
      <c r="K27" s="36">
        <f>IF(ABS(J27)&gt;5,"Yes","No")</f>
        <v/>
      </c>
      <c r="L27" s="37">
        <f>Account_Routing!W27</f>
        <v/>
      </c>
      <c r="M27" s="36">
        <f>IF(I27&gt;=Executive_Summary!$C$8,"Decline (LR &gt;= 70%)",IF(I27&gt;=Executive_Summary!$C$9,"Refer (LR 45%-70%)",IF(L27&gt;=Executive_Summary!$C$10,"Refer (single location &gt;= $250k)","Clear")))</f>
        <v/>
      </c>
      <c r="N27" s="40">
        <f>I27</f>
        <v/>
      </c>
      <c r="O27" s="36">
        <f>Account_Routing!AB27</f>
        <v/>
      </c>
      <c r="P27" s="33">
        <f>IF(K27="Yes","List ratio is stale vs loss run; recomputed ratio used per Section 1 item 2. No Section 3 trigger.","Within 5 points of list; recomputed ratio used. No Section 3 trigger.")</f>
        <v/>
      </c>
    </row>
    <row r="28" ht="15" customHeight="1" s="23">
      <c r="A28" s="36" t="inlineStr">
        <is>
          <t>GR-2077</t>
        </is>
      </c>
      <c r="B28" s="36" t="inlineStr">
        <is>
          <t>Zion Road Residences</t>
        </is>
      </c>
      <c r="C28" s="37">
        <f>Account_Routing!D28</f>
        <v/>
      </c>
      <c r="D28" s="40">
        <f>Account_Routing!U28</f>
        <v/>
      </c>
      <c r="E28" s="36">
        <f>COUNTIF(Src_LossRun!$C$2:$C$43,A28)</f>
        <v/>
      </c>
      <c r="F28" s="37">
        <f>SUMIFS(Src_LossRun!$I$2:$I$43,Src_LossRun!$C$2:$C$43,A28)</f>
        <v/>
      </c>
      <c r="G28" s="37">
        <f>F28-H28</f>
        <v/>
      </c>
      <c r="H28" s="37">
        <f>SUMIFS(Src_LossRun!$J$2:$J$43,Src_LossRun!$C$2:$C$43,A28)</f>
        <v/>
      </c>
      <c r="I28" s="40">
        <f>H28/C28</f>
        <v/>
      </c>
      <c r="J28" s="42">
        <f>(I28-D28)*100</f>
        <v/>
      </c>
      <c r="K28" s="36">
        <f>IF(ABS(J28)&gt;5,"Yes","No")</f>
        <v/>
      </c>
      <c r="L28" s="37">
        <f>Account_Routing!W28</f>
        <v/>
      </c>
      <c r="M28" s="36">
        <f>IF(I28&gt;=Executive_Summary!$C$8,"Decline (LR &gt;= 70%)",IF(I28&gt;=Executive_Summary!$C$9,"Refer (LR 45%-70%)",IF(L28&gt;=Executive_Summary!$C$10,"Refer (single location &gt;= $250k)","Clear")))</f>
        <v/>
      </c>
      <c r="N28" s="40">
        <f>I28</f>
        <v/>
      </c>
      <c r="O28" s="36">
        <f>Account_Routing!AB28</f>
        <v/>
      </c>
      <c r="P28" s="33">
        <f>IF(K28="Yes","List ratio is stale vs loss run; recomputed ratio used per Section 1 item 2. No Section 3 trigger.","Within 5 points of list; recomputed ratio used. No Section 3 trigger.")</f>
        <v/>
      </c>
    </row>
    <row r="29" ht="15" customHeight="1" s="23">
      <c r="A29" s="36" t="inlineStr">
        <is>
          <t>GR-2080</t>
        </is>
      </c>
      <c r="B29" s="36" t="inlineStr">
        <is>
          <t>Archer Avenue Apts LLC</t>
        </is>
      </c>
      <c r="C29" s="37">
        <f>Account_Routing!D29</f>
        <v/>
      </c>
      <c r="D29" s="40">
        <f>Account_Routing!U29</f>
        <v/>
      </c>
      <c r="E29" s="36">
        <f>COUNTIF(Src_LossRun!$C$2:$C$43,A29)</f>
        <v/>
      </c>
      <c r="F29" s="37">
        <f>SUMIFS(Src_LossRun!$I$2:$I$43,Src_LossRun!$C$2:$C$43,A29)</f>
        <v/>
      </c>
      <c r="G29" s="37">
        <f>F29-H29</f>
        <v/>
      </c>
      <c r="H29" s="37">
        <f>SUMIFS(Src_LossRun!$J$2:$J$43,Src_LossRun!$C$2:$C$43,A29)</f>
        <v/>
      </c>
      <c r="I29" s="40">
        <f>H29/C29</f>
        <v/>
      </c>
      <c r="J29" s="42">
        <f>(I29-D29)*100</f>
        <v/>
      </c>
      <c r="K29" s="36">
        <f>IF(ABS(J29)&gt;5,"Yes","No")</f>
        <v/>
      </c>
      <c r="L29" s="37">
        <f>Account_Routing!W29</f>
        <v/>
      </c>
      <c r="M29" s="36">
        <f>IF(I29&gt;=Executive_Summary!$C$8,"Decline (LR &gt;= 70%)",IF(I29&gt;=Executive_Summary!$C$9,"Refer (LR 45%-70%)",IF(L29&gt;=Executive_Summary!$C$10,"Refer (single location &gt;= $250k)","Clear")))</f>
        <v/>
      </c>
      <c r="N29" s="40">
        <f>I29</f>
        <v/>
      </c>
      <c r="O29" s="36">
        <f>Account_Routing!AB29</f>
        <v/>
      </c>
      <c r="P29" s="33">
        <f>IF(K29="Yes","List ratio is stale vs loss run; recomputed ratio used per Section 1 item 2. No Section 3 trigger.","Within 5 points of list; recomputed ratio used. No Section 3 trigger.")</f>
        <v/>
      </c>
    </row>
    <row r="30" ht="15" customHeight="1" s="23">
      <c r="A30" s="36" t="inlineStr">
        <is>
          <t>GR-2083</t>
        </is>
      </c>
      <c r="B30" s="36" t="inlineStr">
        <is>
          <t>Belmont Court Partners</t>
        </is>
      </c>
      <c r="C30" s="37">
        <f>Account_Routing!D30</f>
        <v/>
      </c>
      <c r="D30" s="40">
        <f>Account_Routing!U30</f>
        <v/>
      </c>
      <c r="E30" s="36">
        <f>COUNTIF(Src_LossRun!$C$2:$C$43,A30)</f>
        <v/>
      </c>
      <c r="F30" s="37">
        <f>SUMIFS(Src_LossRun!$I$2:$I$43,Src_LossRun!$C$2:$C$43,A30)</f>
        <v/>
      </c>
      <c r="G30" s="37">
        <f>F30-H30</f>
        <v/>
      </c>
      <c r="H30" s="37">
        <f>SUMIFS(Src_LossRun!$J$2:$J$43,Src_LossRun!$C$2:$C$43,A30)</f>
        <v/>
      </c>
      <c r="I30" s="40">
        <f>H30/C30</f>
        <v/>
      </c>
      <c r="J30" s="42">
        <f>(I30-D30)*100</f>
        <v/>
      </c>
      <c r="K30" s="36">
        <f>IF(ABS(J30)&gt;5,"Yes","No")</f>
        <v/>
      </c>
      <c r="L30" s="37">
        <f>Account_Routing!W30</f>
        <v/>
      </c>
      <c r="M30" s="36">
        <f>IF(I30&gt;=Executive_Summary!$C$8,"Decline (LR &gt;= 70%)",IF(I30&gt;=Executive_Summary!$C$9,"Refer (LR 45%-70%)",IF(L30&gt;=Executive_Summary!$C$10,"Refer (single location &gt;= $250k)","Clear")))</f>
        <v/>
      </c>
      <c r="N30" s="40">
        <f>I30</f>
        <v/>
      </c>
      <c r="O30" s="36">
        <f>Account_Routing!AB30</f>
        <v/>
      </c>
      <c r="P30" s="33">
        <f>IF(K30="Yes","List ratio is stale vs loss run; recomputed ratio used per Section 1 item 2. No Section 3 trigger.","Within 5 points of list; recomputed ratio used. No Section 3 trigger.")</f>
        <v/>
      </c>
    </row>
    <row r="31" ht="15" customHeight="1" s="23">
      <c r="A31" s="36" t="inlineStr">
        <is>
          <t>GR-2086</t>
        </is>
      </c>
      <c r="B31" s="36" t="inlineStr">
        <is>
          <t>Cermak Place LLC</t>
        </is>
      </c>
      <c r="C31" s="37">
        <f>Account_Routing!D31</f>
        <v/>
      </c>
      <c r="D31" s="40">
        <f>Account_Routing!U31</f>
        <v/>
      </c>
      <c r="E31" s="36">
        <f>COUNTIF(Src_LossRun!$C$2:$C$43,A31)</f>
        <v/>
      </c>
      <c r="F31" s="37">
        <f>SUMIFS(Src_LossRun!$I$2:$I$43,Src_LossRun!$C$2:$C$43,A31)</f>
        <v/>
      </c>
      <c r="G31" s="37">
        <f>F31-H31</f>
        <v/>
      </c>
      <c r="H31" s="37">
        <f>SUMIFS(Src_LossRun!$J$2:$J$43,Src_LossRun!$C$2:$C$43,A31)</f>
        <v/>
      </c>
      <c r="I31" s="40">
        <f>H31/C31</f>
        <v/>
      </c>
      <c r="J31" s="42">
        <f>(I31-D31)*100</f>
        <v/>
      </c>
      <c r="K31" s="36">
        <f>IF(ABS(J31)&gt;5,"Yes","No")</f>
        <v/>
      </c>
      <c r="L31" s="37">
        <f>Account_Routing!W31</f>
        <v/>
      </c>
      <c r="M31" s="36">
        <f>IF(I31&gt;=Executive_Summary!$C$8,"Decline (LR &gt;= 70%)",IF(I31&gt;=Executive_Summary!$C$9,"Refer (LR 45%-70%)",IF(L31&gt;=Executive_Summary!$C$10,"Refer (single location &gt;= $250k)","Clear")))</f>
        <v/>
      </c>
      <c r="N31" s="40">
        <f>I31</f>
        <v/>
      </c>
      <c r="O31" s="36">
        <f>Account_Routing!AB31</f>
        <v/>
      </c>
      <c r="P31" s="33">
        <f>IF(K31="Yes","List ratio is stale vs loss run; recomputed ratio used per Section 1 item 2. No Section 3 trigger.","Within 5 points of list; recomputed ratio used. No Section 3 trigger.")</f>
        <v/>
      </c>
    </row>
    <row r="32" ht="15" customHeight="1" s="23">
      <c r="A32" s="36" t="inlineStr">
        <is>
          <t>GR-2089</t>
        </is>
      </c>
      <c r="B32" s="36" t="inlineStr">
        <is>
          <t>Devonshire Arms LLC</t>
        </is>
      </c>
      <c r="C32" s="37">
        <f>Account_Routing!D32</f>
        <v/>
      </c>
      <c r="D32" s="40">
        <f>Account_Routing!U32</f>
        <v/>
      </c>
      <c r="E32" s="36">
        <f>COUNTIF(Src_LossRun!$C$2:$C$43,A32)</f>
        <v/>
      </c>
      <c r="F32" s="37">
        <f>SUMIFS(Src_LossRun!$I$2:$I$43,Src_LossRun!$C$2:$C$43,A32)</f>
        <v/>
      </c>
      <c r="G32" s="37">
        <f>F32-H32</f>
        <v/>
      </c>
      <c r="H32" s="37">
        <f>SUMIFS(Src_LossRun!$J$2:$J$43,Src_LossRun!$C$2:$C$43,A32)</f>
        <v/>
      </c>
      <c r="I32" s="40">
        <f>H32/C32</f>
        <v/>
      </c>
      <c r="J32" s="42">
        <f>(I32-D32)*100</f>
        <v/>
      </c>
      <c r="K32" s="36">
        <f>IF(ABS(J32)&gt;5,"Yes","No")</f>
        <v/>
      </c>
      <c r="L32" s="37">
        <f>Account_Routing!W32</f>
        <v/>
      </c>
      <c r="M32" s="36">
        <f>IF(I32&gt;=Executive_Summary!$C$8,"Decline (LR &gt;= 70%)",IF(I32&gt;=Executive_Summary!$C$9,"Refer (LR 45%-70%)",IF(L32&gt;=Executive_Summary!$C$10,"Refer (single location &gt;= $250k)","Clear")))</f>
        <v/>
      </c>
      <c r="N32" s="40">
        <f>I32</f>
        <v/>
      </c>
      <c r="O32" s="36">
        <f>Account_Routing!AB32</f>
        <v/>
      </c>
      <c r="P32" s="33">
        <f>IF(K32="Yes","List ratio is stale vs loss run; recomputed ratio used per Section 1 item 2. No Section 3 trigger.","Within 5 points of list; recomputed ratio used. No Section 3 trigger.")</f>
        <v/>
      </c>
    </row>
    <row r="33" ht="15" customHeight="1" s="23">
      <c r="A33" s="36" t="inlineStr">
        <is>
          <t>GR-2092</t>
        </is>
      </c>
      <c r="B33" s="36" t="inlineStr">
        <is>
          <t>Elston Crossing Apts</t>
        </is>
      </c>
      <c r="C33" s="37">
        <f>Account_Routing!D33</f>
        <v/>
      </c>
      <c r="D33" s="40">
        <f>Account_Routing!U33</f>
        <v/>
      </c>
      <c r="E33" s="36">
        <f>COUNTIF(Src_LossRun!$C$2:$C$43,A33)</f>
        <v/>
      </c>
      <c r="F33" s="37">
        <f>SUMIFS(Src_LossRun!$I$2:$I$43,Src_LossRun!$C$2:$C$43,A33)</f>
        <v/>
      </c>
      <c r="G33" s="37">
        <f>F33-H33</f>
        <v/>
      </c>
      <c r="H33" s="37">
        <f>SUMIFS(Src_LossRun!$J$2:$J$43,Src_LossRun!$C$2:$C$43,A33)</f>
        <v/>
      </c>
      <c r="I33" s="40">
        <f>H33/C33</f>
        <v/>
      </c>
      <c r="J33" s="42">
        <f>(I33-D33)*100</f>
        <v/>
      </c>
      <c r="K33" s="36">
        <f>IF(ABS(J33)&gt;5,"Yes","No")</f>
        <v/>
      </c>
      <c r="L33" s="37">
        <f>Account_Routing!W33</f>
        <v/>
      </c>
      <c r="M33" s="36">
        <f>IF(I33&gt;=Executive_Summary!$C$8,"Decline (LR &gt;= 70%)",IF(I33&gt;=Executive_Summary!$C$9,"Refer (LR 45%-70%)",IF(L33&gt;=Executive_Summary!$C$10,"Refer (single location &gt;= $250k)","Clear")))</f>
        <v/>
      </c>
      <c r="N33" s="40">
        <f>I33</f>
        <v/>
      </c>
      <c r="O33" s="36">
        <f>Account_Routing!AB33</f>
        <v/>
      </c>
      <c r="P33" s="33">
        <f>IF(K33="Yes","List ratio is stale vs loss run; recomputed ratio used per Section 1 item 2. No Section 3 trigger.","Within 5 points of list; recomputed ratio used. No Section 3 trigger.")</f>
        <v/>
      </c>
    </row>
    <row r="34" ht="15" customHeight="1" s="23">
      <c r="A34" s="36" t="inlineStr">
        <is>
          <t>GR-2113</t>
        </is>
      </c>
      <c r="B34" s="36" t="inlineStr">
        <is>
          <t>Fulton Market Residences</t>
        </is>
      </c>
      <c r="C34" s="37">
        <f>Account_Routing!D34</f>
        <v/>
      </c>
      <c r="D34" s="40">
        <f>Account_Routing!U34</f>
        <v/>
      </c>
      <c r="E34" s="36">
        <f>COUNTIF(Src_LossRun!$C$2:$C$43,A34)</f>
        <v/>
      </c>
      <c r="F34" s="37">
        <f>SUMIFS(Src_LossRun!$I$2:$I$43,Src_LossRun!$C$2:$C$43,A34)</f>
        <v/>
      </c>
      <c r="G34" s="37">
        <f>F34-H34</f>
        <v/>
      </c>
      <c r="H34" s="37">
        <f>SUMIFS(Src_LossRun!$J$2:$J$43,Src_LossRun!$C$2:$C$43,A34)</f>
        <v/>
      </c>
      <c r="I34" s="40">
        <f>H34/C34</f>
        <v/>
      </c>
      <c r="J34" s="42">
        <f>(I34-D34)*100</f>
        <v/>
      </c>
      <c r="K34" s="36">
        <f>IF(ABS(J34)&gt;5,"Yes","No")</f>
        <v/>
      </c>
      <c r="L34" s="37">
        <f>Account_Routing!W34</f>
        <v/>
      </c>
      <c r="M34" s="36">
        <f>IF(I34&gt;=Executive_Summary!$C$8,"Decline (LR &gt;= 70%)",IF(I34&gt;=Executive_Summary!$C$9,"Refer (LR 45%-70%)",IF(L34&gt;=Executive_Summary!$C$10,"Refer (single location &gt;= $250k)","Clear")))</f>
        <v/>
      </c>
      <c r="N34" s="40">
        <f>I34</f>
        <v/>
      </c>
      <c r="O34" s="36">
        <f>Account_Routing!AB34</f>
        <v/>
      </c>
      <c r="P34" s="33" t="inlineStr">
        <is>
          <t>Loss ratio clear (Section 3). Section 4: unit count variance = |142 - 150| / 142 = 5.63% (&gt; 5%); TIV variance = |$11,840,000 - $12,810,880| / $11,840,000 = 8.20% (&gt; 3%). Account routed Refer on Section 4. See also Location_Exceptions.</t>
        </is>
      </c>
    </row>
    <row r="35" ht="23.85" customHeight="1" s="23">
      <c r="A35" s="36" t="inlineStr">
        <is>
          <t>GR-2162</t>
        </is>
      </c>
      <c r="B35" s="36" t="inlineStr">
        <is>
          <t>Grandview Portfolio LLC</t>
        </is>
      </c>
      <c r="C35" s="37">
        <f>Account_Routing!D35</f>
        <v/>
      </c>
      <c r="D35" s="40">
        <f>Account_Routing!U35</f>
        <v/>
      </c>
      <c r="E35" s="36">
        <f>COUNTIF(Src_LossRun!$C$2:$C$43,A35)</f>
        <v/>
      </c>
      <c r="F35" s="37">
        <f>SUMIFS(Src_LossRun!$I$2:$I$43,Src_LossRun!$C$2:$C$43,A35)</f>
        <v/>
      </c>
      <c r="G35" s="37">
        <f>F35-H35</f>
        <v/>
      </c>
      <c r="H35" s="37">
        <f>SUMIFS(Src_LossRun!$J$2:$J$43,Src_LossRun!$C$2:$C$43,A35)</f>
        <v/>
      </c>
      <c r="I35" s="40">
        <f>H35/C35</f>
        <v/>
      </c>
      <c r="J35" s="42">
        <f>(I35-D35)*100</f>
        <v/>
      </c>
      <c r="K35" s="36">
        <f>IF(ABS(J35)&gt;5,"Yes","No")</f>
        <v/>
      </c>
      <c r="L35" s="37">
        <f>Account_Routing!W35</f>
        <v/>
      </c>
      <c r="M35" s="36">
        <f>IF(I35&gt;=Executive_Summary!$C$8,"Decline (LR &gt;= 70%)",IF(I35&gt;=Executive_Summary!$C$9,"Refer (LR 45%-70%)",IF(L35&gt;=Executive_Summary!$C$10,"Refer (single location &gt;= $250k)","Clear")))</f>
        <v/>
      </c>
      <c r="N35" s="40">
        <f>I35</f>
        <v/>
      </c>
      <c r="O35" s="36">
        <f>Account_Routing!AB35</f>
        <v/>
      </c>
      <c r="P35" s="33" t="inlineStr">
        <is>
          <t>Refer on two Section 3 triggers: recomputed LR in the 45%-70% band and HAB-2162-C incurred over $250,000; list ratio of 31.8% masked both.</t>
        </is>
      </c>
    </row>
    <row r="36" ht="23.85" customHeight="1" s="23">
      <c r="A36" s="36" t="inlineStr">
        <is>
          <t>GR-2195</t>
        </is>
      </c>
      <c r="B36" s="36" t="inlineStr">
        <is>
          <t>Humboldt Yard Apts LLC</t>
        </is>
      </c>
      <c r="C36" s="37">
        <f>Account_Routing!D36</f>
        <v/>
      </c>
      <c r="D36" s="40">
        <f>Account_Routing!U36</f>
        <v/>
      </c>
      <c r="E36" s="36">
        <f>COUNTIF(Src_LossRun!$C$2:$C$43,A36)</f>
        <v/>
      </c>
      <c r="F36" s="37">
        <f>SUMIFS(Src_LossRun!$I$2:$I$43,Src_LossRun!$C$2:$C$43,A36)</f>
        <v/>
      </c>
      <c r="G36" s="37">
        <f>F36-H36</f>
        <v/>
      </c>
      <c r="H36" s="37">
        <f>SUMIFS(Src_LossRun!$J$2:$J$43,Src_LossRun!$C$2:$C$43,A36)</f>
        <v/>
      </c>
      <c r="I36" s="40">
        <f>H36/C36</f>
        <v/>
      </c>
      <c r="J36" s="42">
        <f>(I36-D36)*100</f>
        <v/>
      </c>
      <c r="K36" s="36">
        <f>IF(ABS(J36)&gt;5,"Yes","No")</f>
        <v/>
      </c>
      <c r="L36" s="37">
        <f>Account_Routing!W36</f>
        <v/>
      </c>
      <c r="M36" s="36">
        <f>IF(I36&gt;=Executive_Summary!$C$8,"Decline (LR &gt;= 70%)",IF(I36&gt;=Executive_Summary!$C$9,"Refer (LR 45%-70%)",IF(L36&gt;=Executive_Summary!$C$10,"Refer (single location &gt;= $250k)","Clear")))</f>
        <v/>
      </c>
      <c r="N36" s="40">
        <f>I36</f>
        <v/>
      </c>
      <c r="O36" s="36">
        <f>Account_Routing!AB36</f>
        <v/>
      </c>
      <c r="P36" s="33" t="inlineStr">
        <is>
          <t>Decline: recomputed LR is more than 4x the account-list figure; list ratio would have understated the account (48.2% would only have been Refer).</t>
        </is>
      </c>
    </row>
    <row r="37" ht="15" customHeight="1" s="23">
      <c r="A37" s="36" t="inlineStr">
        <is>
          <t>GR-2200</t>
        </is>
      </c>
      <c r="B37" s="36" t="inlineStr">
        <is>
          <t>Indiana Ave Partners LLC</t>
        </is>
      </c>
      <c r="C37" s="37">
        <f>Account_Routing!D37</f>
        <v/>
      </c>
      <c r="D37" s="40">
        <f>Account_Routing!U37</f>
        <v/>
      </c>
      <c r="E37" s="36">
        <f>COUNTIF(Src_LossRun!$C$2:$C$43,A37)</f>
        <v/>
      </c>
      <c r="F37" s="37">
        <f>SUMIFS(Src_LossRun!$I$2:$I$43,Src_LossRun!$C$2:$C$43,A37)</f>
        <v/>
      </c>
      <c r="G37" s="37">
        <f>F37-H37</f>
        <v/>
      </c>
      <c r="H37" s="37">
        <f>SUMIFS(Src_LossRun!$J$2:$J$43,Src_LossRun!$C$2:$C$43,A37)</f>
        <v/>
      </c>
      <c r="I37" s="40">
        <f>H37/C37</f>
        <v/>
      </c>
      <c r="J37" s="42">
        <f>(I37-D37)*100</f>
        <v/>
      </c>
      <c r="K37" s="36">
        <f>IF(ABS(J37)&gt;5,"Yes","No")</f>
        <v/>
      </c>
      <c r="L37" s="37">
        <f>Account_Routing!W37</f>
        <v/>
      </c>
      <c r="M37" s="36">
        <f>IF(I37&gt;=Executive_Summary!$C$8,"Decline (LR &gt;= 70%)",IF(I37&gt;=Executive_Summary!$C$9,"Refer (LR 45%-70%)",IF(L37&gt;=Executive_Summary!$C$10,"Refer (single location &gt;= $250k)","Clear")))</f>
        <v/>
      </c>
      <c r="N37" s="40">
        <f>I37</f>
        <v/>
      </c>
      <c r="O37" s="36">
        <f>Account_Routing!AB37</f>
        <v/>
      </c>
      <c r="P37" s="33">
        <f>IF(K37="Yes","List ratio is stale vs loss run; recomputed ratio used per Section 1 item 2. No Section 3 trigger.","Within 5 points of list; recomputed ratio used. No Section 3 trigger.")</f>
        <v/>
      </c>
    </row>
    <row r="38"/>
    <row r="39" ht="15" customHeight="1" s="23">
      <c r="A39" s="43" t="inlineStr">
        <is>
          <t>Method: recomputed LR = SUM(paid_amount + reserved_amount, all locations on the account, cat_code blank) / expiring_premium (granite_ridge_routing_notes.txt Section 3; loss run governs per Section 1 item 2). Section 7 requires recomputed ratios wherever list and loss run differ by more than 5 points; all 36 accounts are shown for completeness.</t>
        </is>
      </c>
    </row>
    <row r="40" ht="15" customHeight="1" s="23"/>
    <row r="41" ht="15" customHeight="1" s="23"/>
  </sheetData>
  <autoFilter ref="A1:P37"/>
  <mergeCells count="1">
    <mergeCell ref="A39:L41"/>
  </mergeCells>
  <conditionalFormatting sqref="K2:K37">
    <cfRule type="cellIs" rank="0" priority="2" equalAverage="0" operator="equal" aboveAverage="0" dxfId="1" text="" percent="0" bottom="0">
      <formula>"Yes"</formula>
    </cfRule>
  </conditionalFormatting>
  <conditionalFormatting sqref="M2:M37">
    <cfRule type="expression" rank="0" priority="3" equalAverage="0" aboveAverage="0" dxfId="2" text="" percent="0" bottom="0">
      <formula>LEFT(M2,5)&lt;&gt;"Clear"</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0" customWidth="1" style="22" min="1" max="1"/>
    <col width="11" customWidth="1" style="22" min="2" max="2"/>
    <col width="38" customWidth="1" style="22" min="3" max="3"/>
    <col width="60" customWidth="1" style="22" min="4" max="4"/>
    <col width="12" customWidth="1" style="22" min="5" max="5"/>
    <col width="30" customWidth="1" style="22" min="6" max="6"/>
  </cols>
  <sheetData>
    <row r="1" ht="43.5" customHeight="1" s="23">
      <c r="A1" s="31" t="inlineStr">
        <is>
          <t>rule_topic</t>
        </is>
      </c>
      <c r="B1" s="31" t="inlineStr">
        <is>
          <t>section</t>
        </is>
      </c>
      <c r="C1" s="31" t="inlineStr">
        <is>
          <t>routing_action</t>
        </is>
      </c>
      <c r="D1" s="31" t="inlineStr">
        <is>
          <t>how applied in this workbook</t>
        </is>
      </c>
      <c r="E1" s="31" t="inlineStr">
        <is>
          <t>accounts triggered</t>
        </is>
      </c>
      <c r="F1" s="31" t="inlineStr">
        <is>
          <t>source_file</t>
        </is>
      </c>
    </row>
    <row r="2" ht="23.85" customHeight="1" s="23">
      <c r="A2" s="33" t="inlineStr">
        <is>
          <t>Source hierarchy: loss run governs loss history; location schedule governs TIV, units, subsidized, vacancy, inspections, pool; account list is summary only</t>
        </is>
      </c>
      <c r="B2" s="36" t="inlineStr">
        <is>
          <t>Section 1</t>
        </is>
      </c>
      <c r="C2" s="33" t="inlineStr">
        <is>
          <t>Recompute from detail files; do not quote on account-level figures alone</t>
        </is>
      </c>
      <c r="D2" s="33" t="inlineStr">
        <is>
          <t>All accounts recomputed from Src_LossRun and Src_Locations</t>
        </is>
      </c>
      <c r="E2" s="36">
        <f>COUNTA(Account_Routing!A2:A37)</f>
        <v/>
      </c>
      <c r="F2" s="36" t="inlineStr">
        <is>
          <t>granite_ridge_routing_notes.txt</t>
        </is>
      </c>
    </row>
    <row r="3" ht="15" customHeight="1" s="23">
      <c r="A3" s="33" t="inlineStr">
        <is>
          <t>Loss ratio Decline threshold (&gt;= 70%)</t>
        </is>
      </c>
      <c r="B3" s="36" t="inlineStr">
        <is>
          <t>Section 3</t>
        </is>
      </c>
      <c r="C3" s="33" t="inlineStr">
        <is>
          <t>Decline</t>
        </is>
      </c>
      <c r="D3" s="33" t="inlineStr">
        <is>
          <t>Recomputed attritional LR = (paid + reserved, cat blank) / expiring_premium</t>
        </is>
      </c>
      <c r="E3" s="36">
        <f>COUNTIF(Account_Routing!V2:V37,"&gt;="&amp;Executive_Summary!C8)</f>
        <v/>
      </c>
      <c r="F3" s="36" t="inlineStr">
        <is>
          <t>granite_ridge_routing_notes.txt</t>
        </is>
      </c>
    </row>
    <row r="4" ht="15" customHeight="1" s="23">
      <c r="A4" s="33" t="inlineStr">
        <is>
          <t>Loss ratio Refer band (45% to &lt; 70%)</t>
        </is>
      </c>
      <c r="B4" s="36" t="inlineStr">
        <is>
          <t>Section 3</t>
        </is>
      </c>
      <c r="C4" s="33" t="inlineStr">
        <is>
          <t>Refer</t>
        </is>
      </c>
      <c r="D4" s="33" t="inlineStr">
        <is>
          <t>Same recomputation</t>
        </is>
      </c>
      <c r="E4" s="36">
        <f>COUNTIFS(Account_Routing!V2:V37,"&gt;="&amp;Executive_Summary!C9,Account_Routing!V2:V37,"&lt;"&amp;Executive_Summary!C8)</f>
        <v/>
      </c>
      <c r="F4" s="36" t="inlineStr">
        <is>
          <t>granite_ridge_routing_notes.txt</t>
        </is>
      </c>
    </row>
    <row r="5" ht="15" customHeight="1" s="23">
      <c r="A5" s="33" t="inlineStr">
        <is>
          <t>Single-location incurred &gt;= $250,000</t>
        </is>
      </c>
      <c r="B5" s="36" t="inlineStr">
        <is>
          <t>Section 3</t>
        </is>
      </c>
      <c r="C5" s="33" t="inlineStr">
        <is>
          <t>Refer</t>
        </is>
      </c>
      <c r="D5" s="33" t="inlineStr">
        <is>
          <t>Per-location attritional incurred from Src_Locations column Q</t>
        </is>
      </c>
      <c r="E5" s="36">
        <f>COUNTIF(Account_Routing!W2:W37,"&gt;="&amp;Executive_Summary!C10)</f>
        <v/>
      </c>
      <c r="F5" s="36" t="inlineStr">
        <is>
          <t>granite_ridge_routing_notes.txt</t>
        </is>
      </c>
    </row>
    <row r="6" ht="15" customHeight="1" s="23">
      <c r="A6" s="33" t="inlineStr">
        <is>
          <t>Unit count variance &gt; 5%</t>
        </is>
      </c>
      <c r="B6" s="36" t="inlineStr">
        <is>
          <t>Section 4</t>
        </is>
      </c>
      <c r="C6" s="33" t="inlineStr">
        <is>
          <t>Refer</t>
        </is>
      </c>
      <c r="D6" s="33" t="inlineStr">
        <is>
          <t>ABS(list - schedule sum) / list unit_count</t>
        </is>
      </c>
      <c r="E6" s="36">
        <f>COUNTIF(Account_Routing!I2:I37,"&gt;"&amp;Executive_Summary!C11)</f>
        <v/>
      </c>
      <c r="F6" s="36" t="inlineStr">
        <is>
          <t>granite_ridge_routing_notes.txt</t>
        </is>
      </c>
    </row>
    <row r="7" ht="15" customHeight="1" s="23">
      <c r="A7" s="33" t="inlineStr">
        <is>
          <t>TIV variance &gt; 3%</t>
        </is>
      </c>
      <c r="B7" s="36" t="inlineStr">
        <is>
          <t>Section 4</t>
        </is>
      </c>
      <c r="C7" s="33" t="inlineStr">
        <is>
          <t>Refer</t>
        </is>
      </c>
      <c r="D7" s="33" t="inlineStr">
        <is>
          <t>ABS(list - schedule sum) / list account_tiv</t>
        </is>
      </c>
      <c r="E7" s="36">
        <f>COUNTIF(Account_Routing!L2:L37,"&gt;"&amp;Executive_Summary!C12)</f>
        <v/>
      </c>
      <c r="F7" s="36" t="inlineStr">
        <is>
          <t>granite_ridge_routing_notes.txt</t>
        </is>
      </c>
    </row>
    <row r="8" ht="15" customHeight="1" s="23">
      <c r="A8" s="33" t="inlineStr">
        <is>
          <t>Life-safety inspection lapse (&gt; 30 days before 10/1/2025, no renewed certificate)</t>
        </is>
      </c>
      <c r="B8" s="36" t="inlineStr">
        <is>
          <t>Section 5</t>
        </is>
      </c>
      <c r="C8" s="33" t="inlineStr">
        <is>
          <t>Refer</t>
        </is>
      </c>
      <c r="D8" s="33" t="inlineStr">
        <is>
          <t>Sprinkler or fire alarm date before 2025-09-01; no certificates in package</t>
        </is>
      </c>
      <c r="E8" s="36">
        <f>COUNTIF(Account_Routing!P2:P37,"&gt;0")</f>
        <v/>
      </c>
      <c r="F8" s="36" t="inlineStr">
        <is>
          <t>granite_ridge_routing_notes.txt</t>
        </is>
      </c>
    </row>
    <row r="9" ht="15" customHeight="1" s="23">
      <c r="A9" s="33" t="inlineStr">
        <is>
          <t>Pool liability flag pending_fence_po</t>
        </is>
      </c>
      <c r="B9" s="36" t="inlineStr">
        <is>
          <t>Section 5</t>
        </is>
      </c>
      <c r="C9" s="33" t="inlineStr">
        <is>
          <t>Refer until completion evidence uploaded</t>
        </is>
      </c>
      <c r="D9" s="33" t="inlineStr">
        <is>
          <t>Schedule pool_liability_flag</t>
        </is>
      </c>
      <c r="E9" s="36">
        <f>COUNTIF(Account_Routing!Q2:Q37,"&gt;0")</f>
        <v/>
      </c>
      <c r="F9" s="36" t="inlineStr">
        <is>
          <t>granite_ridge_routing_notes.txt</t>
        </is>
      </c>
    </row>
    <row r="10" ht="23.85" customHeight="1" s="23">
      <c r="A10" s="33" t="inlineStr">
        <is>
          <t>Subsidized housing (subsidized_unit_count &gt; 0) regardless of list flag</t>
        </is>
      </c>
      <c r="B10" s="36" t="inlineStr">
        <is>
          <t>Section 6</t>
        </is>
      </c>
      <c r="C10" s="33" t="inlineStr">
        <is>
          <t>Refer; endorsement documentation (queue GRP-SUB-HAB)</t>
        </is>
      </c>
      <c r="D10" s="33" t="inlineStr">
        <is>
          <t>Schedule subsidized_unit_count</t>
        </is>
      </c>
      <c r="E10" s="36">
        <f>COUNTIF(Account_Routing!N2:N37,"&gt;0")</f>
        <v/>
      </c>
      <c r="F10" s="36" t="inlineStr">
        <is>
          <t>granite_ridge_routing_notes.txt</t>
        </is>
      </c>
    </row>
    <row r="11" ht="15" customHeight="1" s="23">
      <c r="A11" s="33" t="inlineStr">
        <is>
          <t>Vacancy_flag = Y and broker_confirmation = no</t>
        </is>
      </c>
      <c r="B11" s="36" t="inlineStr">
        <is>
          <t>Section 6</t>
        </is>
      </c>
      <c r="C11" s="33" t="inlineStr">
        <is>
          <t>Ask Broker (queue GRP-BRK-UPD)</t>
        </is>
      </c>
      <c r="D11" s="33" t="inlineStr">
        <is>
          <t>Schedule vacancy_flag and broker_confirmation</t>
        </is>
      </c>
      <c r="E11" s="36">
        <f>COUNTIF(Account_Routing!S2:S37,"&gt;0")</f>
        <v/>
      </c>
      <c r="F11" s="36" t="inlineStr">
        <is>
          <t>granite_ridge_routing_notes.txt</t>
        </is>
      </c>
    </row>
    <row r="12" ht="23.85" customHeight="1" s="23">
      <c r="A12" s="33" t="inlineStr">
        <is>
          <t>Full-occupancy summary with unexplained vacancy Y (no documented turnover exception)</t>
        </is>
      </c>
      <c r="B12" s="36" t="inlineStr">
        <is>
          <t>Section 6</t>
        </is>
      </c>
      <c r="C12" s="33" t="inlineStr">
        <is>
          <t>Refer</t>
        </is>
      </c>
      <c r="D12" s="33" t="inlineStr">
        <is>
          <t>Not triggered: only vacancy row with broker_confirmation = yes is HAB-2047-B on a 94.0% occupancy account (see Decision_Notes note 3)</t>
        </is>
      </c>
      <c r="E12" s="36" t="n">
        <v>0</v>
      </c>
      <c r="F12" s="36" t="inlineStr">
        <is>
          <t>granite_ridge_routing_notes.txt</t>
        </is>
      </c>
    </row>
    <row r="13" ht="15" customHeight="1" s="23">
      <c r="A13" s="33" t="inlineStr">
        <is>
          <t>Prior disposition / renewal_ready_flag are informational</t>
        </is>
      </c>
      <c r="B13" s="36" t="inlineStr">
        <is>
          <t>Section 8</t>
        </is>
      </c>
      <c r="C13" s="33" t="inlineStr">
        <is>
          <t>Do not override triggers</t>
        </is>
      </c>
      <c r="D13" s="33" t="inlineStr">
        <is>
          <t>35 Quoted + 1 Renewal Ready on list; all flagged Y</t>
        </is>
      </c>
      <c r="E13" s="36">
        <f>COUNTIFS(Account_Routing!F2:F37,"Y",Account_Routing!AB2:AB37,"&lt;&gt;Quote")</f>
        <v/>
      </c>
      <c r="F13" s="36" t="inlineStr">
        <is>
          <t>granite_ridge_routing_notes.txt</t>
        </is>
      </c>
    </row>
    <row r="14" ht="15" customHeight="1" s="23">
      <c r="A14" s="33" t="inlineStr">
        <is>
          <t>Catastrophe-coded rows excluded from Section 3 thresholds by default</t>
        </is>
      </c>
      <c r="B14" s="36" t="inlineStr">
        <is>
          <t>Section 9</t>
        </is>
      </c>
      <c r="C14" s="33" t="inlineStr">
        <is>
          <t>Exclude; track separately</t>
        </is>
      </c>
      <c r="D14" s="33" t="inlineStr">
        <is>
          <t>GR-2071 CAT-2408 excluded</t>
        </is>
      </c>
      <c r="E14" s="36">
        <f>COUNTIF(Src_LossRun!$H$2:$H$43,"CAT*")</f>
        <v/>
      </c>
      <c r="F14" s="36" t="inlineStr">
        <is>
          <t>granite_ridge_routing_notes.txt</t>
        </is>
      </c>
    </row>
    <row r="15" ht="23.85" customHeight="1" s="23">
      <c r="A15" s="33" t="inlineStr">
        <is>
          <t>Student housing (Campus Edge Housing Co.) appetite note; GRP-APPETITE review before bind</t>
        </is>
      </c>
      <c r="B15" s="36" t="inlineStr">
        <is>
          <t>Section 10</t>
        </is>
      </c>
      <c r="C15" s="33" t="inlineStr">
        <is>
          <t>Appetite note on Location_Exceptions; do not assume clearance</t>
        </is>
      </c>
      <c r="D15" s="33" t="inlineStr">
        <is>
          <t>GR-2007 and GR-2065 routed Refer (judgment)</t>
        </is>
      </c>
      <c r="E15" s="36">
        <f>SUM(Account_Routing!X2:X37)</f>
        <v/>
      </c>
      <c r="F15" s="36" t="inlineStr">
        <is>
          <t>granite_ridge_routing_notes.txt</t>
        </is>
      </c>
    </row>
    <row r="16" ht="23.85" customHeight="1" s="23">
      <c r="A16" s="33" t="inlineStr">
        <is>
          <t>Documentation: all 36 accounts listed; rationale citing section and source file on every non-Quote row; recomputed ratios where list differs &gt; 5 pts</t>
        </is>
      </c>
      <c r="B16" s="36" t="inlineStr">
        <is>
          <t>Section 7</t>
        </is>
      </c>
      <c r="C16" s="33" t="inlineStr">
        <is>
          <t>Documentation</t>
        </is>
      </c>
      <c r="D16" s="33" t="inlineStr">
        <is>
          <t>Account_Routing, Location_Exceptions, Loss_Reconciliation</t>
        </is>
      </c>
      <c r="E16" s="36">
        <f>COUNTA(Account_Routing!A2:A37)</f>
        <v/>
      </c>
      <c r="F16" s="36" t="inlineStr">
        <is>
          <t>granite_ridge_routing_notes.txt</t>
        </is>
      </c>
    </row>
    <row r="17"/>
    <row r="18" ht="15" customHeight="1" s="23">
      <c r="A18" s="25" t="inlineStr">
        <is>
          <t>"Accounts triggered" counts accounts (or rows for the cat-code line) that meet the trigger; an account may meet several triggers.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22" min="1" max="1"/>
    <col width="30" customWidth="1" style="22" min="2" max="2"/>
    <col width="60" customWidth="1" style="22" min="3" max="4"/>
    <col width="42" customWidth="1" style="22" min="5" max="5"/>
    <col width="36" customWidth="1" style="22" min="6" max="6"/>
  </cols>
  <sheetData>
    <row r="1" ht="43.5" customHeight="1" s="23">
      <c r="A1" s="31" t="inlineStr">
        <is>
          <t>#</t>
        </is>
      </c>
      <c r="B1" s="31" t="inlineStr">
        <is>
          <t>Topic</t>
        </is>
      </c>
      <c r="C1" s="31" t="inlineStr">
        <is>
          <t>What happened</t>
        </is>
      </c>
      <c r="D1" s="31" t="inlineStr">
        <is>
          <t>Why it matters</t>
        </is>
      </c>
      <c r="E1" s="31" t="inlineStr">
        <is>
          <t>Source / rule used (granite_ridge_routing_notes.txt)</t>
        </is>
      </c>
      <c r="F1" s="31" t="inlineStr">
        <is>
          <t>Effect on disposition</t>
        </is>
      </c>
    </row>
    <row r="2" ht="35.05" customHeight="1" s="23">
      <c r="A2" s="36" t="n">
        <v>1</v>
      </c>
      <c r="B2" s="33" t="inlineStr">
        <is>
          <t>Account list loss ratios are stale</t>
        </is>
      </c>
      <c r="C2" s="33" t="inlineStr">
        <is>
          <t>For 30 of 36 accounts the list loss ratio differs from the recomputed loss-run ratio by more than 5 points, in both directions (see Loss_Reconciliation column K).</t>
        </is>
      </c>
      <c r="D2" s="33" t="inlineStr">
        <is>
          <t>The list ratio cannot be used for routing.</t>
        </is>
      </c>
      <c r="E2" s="33" t="inlineStr">
        <is>
          <t>Section 1 item 2 (loss run governs); Section 3 formula; Section 7 (show recomputed ratios where difference &gt; 5 points).</t>
        </is>
      </c>
      <c r="F2" s="33" t="inlineStr">
        <is>
          <t>Routing uses recomputed ratios only. Changed the outcome for GR-2195 (Decline) and GR-2162 (Refer).</t>
        </is>
      </c>
    </row>
    <row r="3" ht="23.85" customHeight="1" s="23">
      <c r="A3" s="36" t="n">
        <v>2</v>
      </c>
      <c r="B3" s="33" t="inlineStr">
        <is>
          <t>GR-2195 Humboldt Yard: Decline</t>
        </is>
      </c>
      <c r="C3" s="33" t="inlineStr">
        <is>
          <t>Four loss rows total $142,100 incurred against $48,620 premium = 292.3%. Account list showed 48.2%.</t>
        </is>
      </c>
      <c r="D3" s="33" t="inlineStr">
        <is>
          <t>A 48.2% list ratio would only be a Refer; actual ratio is more than 4x the decline threshold.</t>
        </is>
      </c>
      <c r="E3" s="33" t="inlineStr">
        <is>
          <t>Section 3: Decline if recomputed LR &gt;= 70%.</t>
        </is>
      </c>
      <c r="F3" s="33" t="inlineStr">
        <is>
          <t>Decline.</t>
        </is>
      </c>
    </row>
    <row r="4" ht="57.45" customHeight="1" s="23">
      <c r="A4" s="36" t="n">
        <v>3</v>
      </c>
      <c r="B4" s="33" t="inlineStr">
        <is>
          <t>GR-2047 Quincy Street: vacancy treated as documented (judgment)</t>
        </is>
      </c>
      <c r="C4" s="33" t="inlineStr">
        <is>
          <t>HAB-2047-B has vacancy_flag = Y with broker_confirmation = yes; account occupancy is 94.0%.</t>
        </is>
      </c>
      <c r="D4" s="33" t="inlineStr">
        <is>
          <t>Ask Broker needs broker_confirmation = no. The Refer vacancy rule needs both full-occupancy occupancy and no documented turnover exception. No numeric definition of "full occupancy" exists in the notes, and no separate broker file is in the package; broker_confirmation = yes is the only documentation available. I did not invent a threshold.</t>
        </is>
      </c>
      <c r="E4" s="33" t="inlineStr">
        <is>
          <t>Section 6 (last two sentences); Section 1 item 3.</t>
        </is>
      </c>
      <c r="F4" s="33" t="inlineStr">
        <is>
          <t>Quote. If the desk requires a separate turnover-exception document, this account moves to Refer.</t>
        </is>
      </c>
    </row>
    <row r="5" ht="57.45" customHeight="1" s="23">
      <c r="A5" s="36" t="n">
        <v>4</v>
      </c>
      <c r="B5" s="33" t="inlineStr">
        <is>
          <t>Campus Edge accounts GR-2007 and GR-2065: routed Refer (judgment)</t>
        </is>
      </c>
      <c r="C5" s="33" t="inlineStr">
        <is>
          <t>Both accounts have named insured Campus Edge Housing Co. with no vacancy flag and otherwise clean loss/location detail.</t>
        </is>
      </c>
      <c r="D5" s="33" t="inlineStr">
        <is>
          <t>Section 10 requires an appetite note stating GRP-APPETITE review must be submitted before bind. A mandatory pre-bind review fits the Refer definition (underwriter review before bind) and cannot be Quote, which requires no mandatory trigger. No CUO clearance memo is in the file package, so clearance is not assumed.</t>
        </is>
      </c>
      <c r="E5" s="33" t="inlineStr">
        <is>
          <t>Section 10; Section 2 (Refer and Quote definitions).</t>
        </is>
      </c>
      <c r="F5" s="33" t="inlineStr">
        <is>
          <t>Refer for both accounts. Location_Exceptions carries the Section 10 note for each.</t>
        </is>
      </c>
    </row>
    <row r="6" ht="23.85" customHeight="1" s="23">
      <c r="A6" s="36" t="n">
        <v>5</v>
      </c>
      <c r="B6" s="33" t="inlineStr">
        <is>
          <t>GR-2071 Buckeye Garden: cat loss excluded</t>
        </is>
      </c>
      <c r="C6" s="33" t="inlineStr">
        <is>
          <t>CAT-2408 wind loss of $284,600 on HAB-2071-A is cat-coded. Attritional incurred is $4,796.53 (9.6%).</t>
        </is>
      </c>
      <c r="D6" s="33" t="inlineStr">
        <is>
          <t>Including the cat loss would trigger both a Decline-level ratio and a single-location Refer.</t>
        </is>
      </c>
      <c r="E6" s="33" t="inlineStr">
        <is>
          <t>Section 9 (default exclusion for Section 3 thresholds). CUO memo GRP-CAT-2025-03 is not in the file package.</t>
        </is>
      </c>
      <c r="F6" s="33" t="inlineStr">
        <is>
          <t>Quote. Reverses if the CUO confirms memo GRP-CAT-2025-03 applies.</t>
        </is>
      </c>
    </row>
    <row r="7" ht="46.25" customHeight="1" s="23">
      <c r="A7" s="36" t="n">
        <v>6</v>
      </c>
      <c r="B7" s="33" t="inlineStr">
        <is>
          <t>Inspection lapse cutoff</t>
        </is>
      </c>
      <c r="C7" s="33" t="inlineStr">
        <is>
          <t>Batch effective date is October 1, 2025 (Section 5), so a lapse means an inspection dated before 2025-09-01. Only HAB-2089-A (both sprinkler and fire alarm dated 2025-04-02, 182 days) fails; every other date is 2025-09-03 or later (28 days or fewer).</t>
        </is>
      </c>
      <c r="D7" s="33" t="inlineStr">
        <is>
          <t>No renewed certificate is in the package, so the grace exception cannot be applied.</t>
        </is>
      </c>
      <c r="E7" s="33" t="inlineStr">
        <is>
          <t>Section 5.</t>
        </is>
      </c>
      <c r="F7" s="33" t="inlineStr">
        <is>
          <t>GR-2089 Refer.</t>
        </is>
      </c>
    </row>
    <row r="8" ht="35.05" customHeight="1" s="23">
      <c r="A8" s="36" t="n">
        <v>7</v>
      </c>
      <c r="B8" s="33" t="inlineStr">
        <is>
          <t>GR-2113 Fulton Market: unit and TIV variance</t>
        </is>
      </c>
      <c r="C8" s="33" t="inlineStr">
        <is>
          <t>List 142 units and $11,840,000 TIV vs schedule 150 units and $12,810,880 (variance 8 units = 5.63%; $970,880 = 8.20%). All other accounts are within 1.5% TIV and 0% units.</t>
        </is>
      </c>
      <c r="D8" s="33" t="inlineStr">
        <is>
          <t>Both variances exceed tolerance; the schedule governs.</t>
        </is>
      </c>
      <c r="E8" s="33" t="inlineStr">
        <is>
          <t>Section 4; Section 1 item 3.</t>
        </is>
      </c>
      <c r="F8" s="33" t="inlineStr">
        <is>
          <t>Refer.</t>
        </is>
      </c>
    </row>
    <row r="9" ht="23.85" customHeight="1" s="23">
      <c r="A9" s="36" t="n">
        <v>8</v>
      </c>
      <c r="B9" s="33" t="inlineStr">
        <is>
          <t>GR-2162 Grandview: two Section 3 triggers</t>
        </is>
      </c>
      <c r="C9" s="33" t="inlineStr">
        <is>
          <t>Recomputed LR is 67.5% ($265,360 / $392,850) and HAB-2162-C alone carries $260,120 incurred.</t>
        </is>
      </c>
      <c r="D9" s="33" t="inlineStr">
        <is>
          <t>Either trigger alone forces Refer; list ratio of 31.8% hid both. 67.5% is below the 70% decline threshold.</t>
        </is>
      </c>
      <c r="E9" s="33" t="inlineStr">
        <is>
          <t>Section 3.</t>
        </is>
      </c>
      <c r="F9" s="33" t="inlineStr">
        <is>
          <t>Refer.</t>
        </is>
      </c>
    </row>
    <row r="10" ht="35.05" customHeight="1" s="23">
      <c r="A10" s="36" t="n">
        <v>9</v>
      </c>
      <c r="B10" s="33" t="inlineStr">
        <is>
          <t>Subsidized housing</t>
        </is>
      </c>
      <c r="C10" s="33" t="inlineStr">
        <is>
          <t>HAB-2053-A (24 units), HAB-2068-B (18) and HAB-2092-A (22) carry subsidized units. The list subsidized_housing_flag is already Y for all three accounts and N for every account with no subsidized units, so there is no flag mismatch.</t>
        </is>
      </c>
      <c r="D10" s="33" t="inlineStr">
        <is>
          <t>Refer applies even where the list flag is N; here it agrees with the schedule.</t>
        </is>
      </c>
      <c r="E10" s="33" t="inlineStr">
        <is>
          <t>Section 6; queue GRP-SUB-HAB.</t>
        </is>
      </c>
      <c r="F10" s="33" t="inlineStr">
        <is>
          <t>GR-2053, GR-2068, GR-2092 Refer.</t>
        </is>
      </c>
    </row>
    <row r="11" ht="15" customHeight="1" s="23">
      <c r="A11" s="36" t="n">
        <v>10</v>
      </c>
      <c r="B11" s="33" t="inlineStr">
        <is>
          <t>GR-2033 Lincolnwood vacancy</t>
        </is>
      </c>
      <c r="C11" s="33" t="inlineStr">
        <is>
          <t>HAB-2033-B shows vacancy_flag = Y and broker_confirmation = no.</t>
        </is>
      </c>
      <c r="D11" s="33" t="inlineStr">
        <is>
          <t>Exposure change is pending broker confirmation.</t>
        </is>
      </c>
      <c r="E11" s="33" t="inlineStr">
        <is>
          <t>Section 6; Section 2 (Ask Broker); queue GRP-BRK-UPD.</t>
        </is>
      </c>
      <c r="F11" s="33" t="inlineStr">
        <is>
          <t>Ask Broker (no quote until updated).</t>
        </is>
      </c>
    </row>
    <row r="12" ht="15" customHeight="1" s="23">
      <c r="A12" s="36" t="n">
        <v>11</v>
      </c>
      <c r="B12" s="33" t="inlineStr">
        <is>
          <t>GR-2074 Yorktown pool</t>
        </is>
      </c>
      <c r="C12" s="33" t="inlineStr">
        <is>
          <t>HAB-2074-A pool_liability_flag = pending_fence_po.</t>
        </is>
      </c>
      <c r="D12" s="33" t="inlineStr">
        <is>
          <t>Remains Refer until completion evidence is uploaded; none in package.</t>
        </is>
      </c>
      <c r="E12" s="33" t="inlineStr">
        <is>
          <t>Section 5.</t>
        </is>
      </c>
      <c r="F12" s="33" t="inlineStr">
        <is>
          <t>Refer.</t>
        </is>
      </c>
    </row>
    <row r="13" ht="23.85" customHeight="1" s="23">
      <c r="A13" s="36" t="n">
        <v>12</v>
      </c>
      <c r="B13" s="33" t="inlineStr">
        <is>
          <t>renewal_ready_flag is informational</t>
        </is>
      </c>
      <c r="C13" s="33" t="inlineStr">
        <is>
          <t>All 36 accounts show renewal_ready_flag = Y and 35 show prior_disposition Quoted (1 Renewal Ready), yet 11 accounts are not routed Quote.</t>
        </is>
      </c>
      <c r="D13" s="33" t="inlineStr">
        <is>
          <t>Summary flags cannot override location or loss triggers.</t>
        </is>
      </c>
      <c r="E13" s="33" t="inlineStr">
        <is>
          <t>Section 8.</t>
        </is>
      </c>
      <c r="F13" s="33" t="inlineStr">
        <is>
          <t>No override applied.</t>
        </is>
      </c>
    </row>
    <row r="14" ht="35.05" customHeight="1" s="23">
      <c r="A14" s="36" t="n">
        <v>13</v>
      </c>
      <c r="B14" s="33" t="inlineStr">
        <is>
          <t>Precedence when triggers overlap</t>
        </is>
      </c>
      <c r="C14" s="33" t="inlineStr">
        <is>
          <t>Decline is checked first, then Ask Broker, then Refer, else Quote. The notes do not rank Ask Broker against Refer; no account has both, so no outcome depends on this ordering.</t>
        </is>
      </c>
      <c r="D14" s="33" t="inlineStr">
        <is>
          <t>Documents the tie-break used by the disposition formula.</t>
        </is>
      </c>
      <c r="E14" s="33" t="inlineStr">
        <is>
          <t>Section 2 definitions (assumption, not a rule in the notes).</t>
        </is>
      </c>
      <c r="F14" s="33" t="inlineStr">
        <is>
          <t>None.</t>
        </is>
      </c>
    </row>
    <row r="15" ht="35.05" customHeight="1" s="23">
      <c r="A15" s="36" t="n">
        <v>14</v>
      </c>
      <c r="B15" s="33" t="inlineStr">
        <is>
          <t>Loss window and data integrity</t>
        </is>
      </c>
      <c r="C15" s="33" t="inlineStr">
        <is>
          <t>All 42 loss rows fall between 2023-10-31 and 2025-08-19, inside the 36-month window. Every loss row ties to a location on the same account; 36 accounts and 75 locations match across files; no duplicate IDs. The cat_code field is intentionally blank on 41 of 42 rows (attritional losses); the one populated cat_code (CAT-2408) is the catastrophe-coded row excluded under Section 9.</t>
        </is>
      </c>
      <c r="D15" s="33" t="inlineStr">
        <is>
          <t>Confirms no rows needed exclusion other than the one cat-coded row.</t>
        </is>
      </c>
      <c r="E15" s="33" t="inlineStr">
        <is>
          <t>Section 3; Section 9.</t>
        </is>
      </c>
      <c r="F15" s="33" t="inlineStr">
        <is>
          <t>None.</t>
        </is>
      </c>
    </row>
    <row r="16" ht="35.05" customHeight="1" s="23">
      <c r="A16" s="36" t="n">
        <v>15</v>
      </c>
      <c r="B16" s="33" t="inlineStr">
        <is>
          <t>Workbook layout</t>
        </is>
      </c>
      <c r="C16" s="33" t="inlineStr">
        <is>
          <t>Sheet names Account_Routing, Location_Exceptions, Loss_Reconciliation and Rules_Citations follow Section 7. Three Src_ sheets (Src_Accounts, Src_Locations, Src_LossRun) preserve the CSV input data; the fourth input file, granite_ridge_routing_notes.txt, is cited and summarized on Rules_Citations. Derived values use formulas so every figure can be traced.</t>
        </is>
      </c>
      <c r="D16" s="33" t="inlineStr">
        <is>
          <t>Traceability and auditability.</t>
        </is>
      </c>
      <c r="E16" s="33" t="inlineStr">
        <is>
          <t>Section 7.</t>
        </is>
      </c>
      <c r="F16" s="33" t="inlineStr">
        <is>
          <t>None.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K37"/>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1" customWidth="1" style="22" min="1" max="1"/>
    <col width="28" customWidth="1" style="22" min="2" max="2"/>
    <col width="7" customWidth="1" style="22" min="3" max="3"/>
    <col width="15" customWidth="1" style="22" min="4" max="5"/>
    <col width="11" customWidth="1" style="22" min="6" max="6"/>
    <col width="13" customWidth="1" style="22" min="7" max="7"/>
    <col width="14" customWidth="1" style="22" min="8" max="8"/>
    <col width="15" customWidth="1" style="22" min="9" max="9"/>
    <col width="16" customWidth="1" style="22" min="10" max="10"/>
    <col width="14" customWidth="1" style="22" min="11" max="11"/>
  </cols>
  <sheetData>
    <row r="1" ht="43.5" customHeight="1" s="23">
      <c r="A1" s="31" t="inlineStr">
        <is>
          <t>account_id</t>
        </is>
      </c>
      <c r="B1" s="31" t="inlineStr">
        <is>
          <t>named_insured</t>
        </is>
      </c>
      <c r="C1" s="31" t="inlineStr">
        <is>
          <t>state</t>
        </is>
      </c>
      <c r="D1" s="31" t="inlineStr">
        <is>
          <t>expiring_premium</t>
        </is>
      </c>
      <c r="E1" s="31" t="inlineStr">
        <is>
          <t>account_tiv</t>
        </is>
      </c>
      <c r="F1" s="31" t="inlineStr">
        <is>
          <t>unit_count</t>
        </is>
      </c>
      <c r="G1" s="31" t="inlineStr">
        <is>
          <t>occupancy_pct</t>
        </is>
      </c>
      <c r="H1" s="31" t="inlineStr">
        <is>
          <t>subsidized_housing_flag</t>
        </is>
      </c>
      <c r="I1" s="31" t="inlineStr">
        <is>
          <t>prior_disposition</t>
        </is>
      </c>
      <c r="J1" s="31" t="inlineStr">
        <is>
          <t>account_loss_ratio_36mo</t>
        </is>
      </c>
      <c r="K1" s="31" t="inlineStr">
        <is>
          <t>renewal_ready_flag</t>
        </is>
      </c>
    </row>
    <row r="2" ht="15" customHeight="1" s="23">
      <c r="A2" s="36" t="inlineStr">
        <is>
          <t>GR-2001</t>
        </is>
      </c>
      <c r="B2" s="36" t="inlineStr">
        <is>
          <t>Ashland Court Apts LP</t>
        </is>
      </c>
      <c r="C2" s="36" t="inlineStr">
        <is>
          <t>IL</t>
        </is>
      </c>
      <c r="D2" s="37" t="n">
        <v>55299.51</v>
      </c>
      <c r="E2" s="39" t="n">
        <v>11870554</v>
      </c>
      <c r="F2" s="36" t="n">
        <v>183</v>
      </c>
      <c r="G2" s="36" t="n">
        <v>95.3</v>
      </c>
      <c r="H2" s="36" t="inlineStr">
        <is>
          <t>N</t>
        </is>
      </c>
      <c r="I2" s="36" t="inlineStr">
        <is>
          <t>Quoted</t>
        </is>
      </c>
      <c r="J2" s="36" t="n">
        <v>25.9</v>
      </c>
      <c r="K2" s="36" t="inlineStr">
        <is>
          <t>Y</t>
        </is>
      </c>
    </row>
    <row r="3" ht="15" customHeight="1" s="23">
      <c r="A3" s="36" t="inlineStr">
        <is>
          <t>GR-2004</t>
        </is>
      </c>
      <c r="B3" s="36" t="inlineStr">
        <is>
          <t>Berwyn Arms LLC</t>
        </is>
      </c>
      <c r="C3" s="36" t="inlineStr">
        <is>
          <t>MN</t>
        </is>
      </c>
      <c r="D3" s="37" t="n">
        <v>75553.66</v>
      </c>
      <c r="E3" s="39" t="n">
        <v>10119822</v>
      </c>
      <c r="F3" s="36" t="n">
        <v>67</v>
      </c>
      <c r="G3" s="36" t="n">
        <v>96.09999999999999</v>
      </c>
      <c r="H3" s="36" t="inlineStr">
        <is>
          <t>N</t>
        </is>
      </c>
      <c r="I3" s="36" t="inlineStr">
        <is>
          <t>Quoted</t>
        </is>
      </c>
      <c r="J3" s="36" t="n">
        <v>12.8</v>
      </c>
      <c r="K3" s="36" t="inlineStr">
        <is>
          <t>Y</t>
        </is>
      </c>
    </row>
    <row r="4" ht="15" customHeight="1" s="23">
      <c r="A4" s="36" t="inlineStr">
        <is>
          <t>GR-2007</t>
        </is>
      </c>
      <c r="B4" s="36" t="inlineStr">
        <is>
          <t>Campus Edge Housing Co.</t>
        </is>
      </c>
      <c r="C4" s="36" t="inlineStr">
        <is>
          <t>IN</t>
        </is>
      </c>
      <c r="D4" s="37" t="n">
        <v>67915.72</v>
      </c>
      <c r="E4" s="39" t="n">
        <v>10381367</v>
      </c>
      <c r="F4" s="36" t="n">
        <v>97</v>
      </c>
      <c r="G4" s="36" t="n">
        <v>95.2</v>
      </c>
      <c r="H4" s="36" t="inlineStr">
        <is>
          <t>N</t>
        </is>
      </c>
      <c r="I4" s="36" t="inlineStr">
        <is>
          <t>Quoted</t>
        </is>
      </c>
      <c r="J4" s="36" t="n">
        <v>17.9</v>
      </c>
      <c r="K4" s="36" t="inlineStr">
        <is>
          <t>Y</t>
        </is>
      </c>
    </row>
    <row r="5" ht="15" customHeight="1" s="23">
      <c r="A5" s="36" t="inlineStr">
        <is>
          <t>GR-2010</t>
        </is>
      </c>
      <c r="B5" s="36" t="inlineStr">
        <is>
          <t>Damen Square Residences</t>
        </is>
      </c>
      <c r="C5" s="36" t="inlineStr">
        <is>
          <t>IA</t>
        </is>
      </c>
      <c r="D5" s="37" t="n">
        <v>87072.61</v>
      </c>
      <c r="E5" s="39" t="n">
        <v>15930329</v>
      </c>
      <c r="F5" s="36" t="n">
        <v>128</v>
      </c>
      <c r="G5" s="36" t="n">
        <v>91.2</v>
      </c>
      <c r="H5" s="36" t="inlineStr">
        <is>
          <t>N</t>
        </is>
      </c>
      <c r="I5" s="36" t="inlineStr">
        <is>
          <t>Quoted</t>
        </is>
      </c>
      <c r="J5" s="36" t="n">
        <v>17.1</v>
      </c>
      <c r="K5" s="36" t="inlineStr">
        <is>
          <t>Y</t>
        </is>
      </c>
    </row>
    <row r="6" ht="15" customHeight="1" s="23">
      <c r="A6" s="36" t="inlineStr">
        <is>
          <t>GR-2013</t>
        </is>
      </c>
      <c r="B6" s="36" t="inlineStr">
        <is>
          <t>Eastgate Manor LLC</t>
        </is>
      </c>
      <c r="C6" s="36" t="inlineStr">
        <is>
          <t>IL</t>
        </is>
      </c>
      <c r="D6" s="37" t="n">
        <v>55911.94</v>
      </c>
      <c r="E6" s="39" t="n">
        <v>10882945</v>
      </c>
      <c r="F6" s="36" t="n">
        <v>163</v>
      </c>
      <c r="G6" s="36" t="n">
        <v>92.40000000000001</v>
      </c>
      <c r="H6" s="36" t="inlineStr">
        <is>
          <t>N</t>
        </is>
      </c>
      <c r="I6" s="36" t="inlineStr">
        <is>
          <t>Quoted</t>
        </is>
      </c>
      <c r="J6" s="36" t="n">
        <v>20.5</v>
      </c>
      <c r="K6" s="36" t="inlineStr">
        <is>
          <t>Y</t>
        </is>
      </c>
    </row>
    <row r="7" ht="15" customHeight="1" s="23">
      <c r="A7" s="36" t="inlineStr">
        <is>
          <t>GR-2016</t>
        </is>
      </c>
      <c r="B7" s="36" t="inlineStr">
        <is>
          <t>Fairmount Village Apts</t>
        </is>
      </c>
      <c r="C7" s="36" t="inlineStr">
        <is>
          <t>IA</t>
        </is>
      </c>
      <c r="D7" s="37" t="n">
        <v>67173.60000000001</v>
      </c>
      <c r="E7" s="39" t="n">
        <v>14236352</v>
      </c>
      <c r="F7" s="36" t="n">
        <v>172</v>
      </c>
      <c r="G7" s="36" t="n">
        <v>91.90000000000001</v>
      </c>
      <c r="H7" s="36" t="inlineStr">
        <is>
          <t>N</t>
        </is>
      </c>
      <c r="I7" s="36" t="inlineStr">
        <is>
          <t>Quoted</t>
        </is>
      </c>
      <c r="J7" s="36" t="n">
        <v>30.2</v>
      </c>
      <c r="K7" s="36" t="inlineStr">
        <is>
          <t>Y</t>
        </is>
      </c>
    </row>
    <row r="8" ht="15" customHeight="1" s="23">
      <c r="A8" s="36" t="inlineStr">
        <is>
          <t>GR-2018</t>
        </is>
      </c>
      <c r="B8" s="36" t="inlineStr">
        <is>
          <t>Glenwood Terrace LLC</t>
        </is>
      </c>
      <c r="C8" s="36" t="inlineStr">
        <is>
          <t>IA</t>
        </is>
      </c>
      <c r="D8" s="37" t="n">
        <v>54820</v>
      </c>
      <c r="E8" s="39" t="n">
        <v>9340000</v>
      </c>
      <c r="F8" s="36" t="n">
        <v>112</v>
      </c>
      <c r="G8" s="36" t="n">
        <v>97.2</v>
      </c>
      <c r="H8" s="36" t="inlineStr">
        <is>
          <t>N</t>
        </is>
      </c>
      <c r="I8" s="36" t="inlineStr">
        <is>
          <t>Quoted</t>
        </is>
      </c>
      <c r="J8" s="36" t="n">
        <v>18.6</v>
      </c>
      <c r="K8" s="36" t="inlineStr">
        <is>
          <t>Y</t>
        </is>
      </c>
    </row>
    <row r="9" ht="15" customHeight="1" s="23">
      <c r="A9" s="36" t="inlineStr">
        <is>
          <t>GR-2021</t>
        </is>
      </c>
      <c r="B9" s="36" t="inlineStr">
        <is>
          <t>Halsted Walkup Partners</t>
        </is>
      </c>
      <c r="C9" s="36" t="inlineStr">
        <is>
          <t>OH</t>
        </is>
      </c>
      <c r="D9" s="37" t="n">
        <v>69181.2</v>
      </c>
      <c r="E9" s="39" t="n">
        <v>8365947</v>
      </c>
      <c r="F9" s="36" t="n">
        <v>109</v>
      </c>
      <c r="G9" s="36" t="n">
        <v>94.3</v>
      </c>
      <c r="H9" s="36" t="inlineStr">
        <is>
          <t>N</t>
        </is>
      </c>
      <c r="I9" s="36" t="inlineStr">
        <is>
          <t>Quoted</t>
        </is>
      </c>
      <c r="J9" s="36" t="n">
        <v>26.8</v>
      </c>
      <c r="K9" s="36" t="inlineStr">
        <is>
          <t>Y</t>
        </is>
      </c>
    </row>
    <row r="10" ht="15" customHeight="1" s="23">
      <c r="A10" s="36" t="inlineStr">
        <is>
          <t>GR-2024</t>
        </is>
      </c>
      <c r="B10" s="36" t="inlineStr">
        <is>
          <t>Irving Park Rentals Inc</t>
        </is>
      </c>
      <c r="C10" s="36" t="inlineStr">
        <is>
          <t>IL</t>
        </is>
      </c>
      <c r="D10" s="37" t="n">
        <v>67304.53</v>
      </c>
      <c r="E10" s="39" t="n">
        <v>13032989</v>
      </c>
      <c r="F10" s="36" t="n">
        <v>116</v>
      </c>
      <c r="G10" s="36" t="n">
        <v>95.40000000000001</v>
      </c>
      <c r="H10" s="36" t="inlineStr">
        <is>
          <t>N</t>
        </is>
      </c>
      <c r="I10" s="36" t="inlineStr">
        <is>
          <t>Quoted</t>
        </is>
      </c>
      <c r="J10" s="36" t="n">
        <v>17.4</v>
      </c>
      <c r="K10" s="36" t="inlineStr">
        <is>
          <t>Y</t>
        </is>
      </c>
    </row>
    <row r="11" ht="15" customHeight="1" s="23">
      <c r="A11" s="36" t="inlineStr">
        <is>
          <t>GR-2027</t>
        </is>
      </c>
      <c r="B11" s="36" t="inlineStr">
        <is>
          <t>Jefferson Grove MF LLC</t>
        </is>
      </c>
      <c r="C11" s="36" t="inlineStr">
        <is>
          <t>OH</t>
        </is>
      </c>
      <c r="D11" s="37" t="n">
        <v>53257.33</v>
      </c>
      <c r="E11" s="39" t="n">
        <v>8723089</v>
      </c>
      <c r="F11" s="36" t="n">
        <v>132</v>
      </c>
      <c r="G11" s="36" t="n">
        <v>96.7</v>
      </c>
      <c r="H11" s="36" t="inlineStr">
        <is>
          <t>N</t>
        </is>
      </c>
      <c r="I11" s="36" t="inlineStr">
        <is>
          <t>Quoted</t>
        </is>
      </c>
      <c r="J11" s="36" t="n">
        <v>21.6</v>
      </c>
      <c r="K11" s="36" t="inlineStr">
        <is>
          <t>Y</t>
        </is>
      </c>
    </row>
    <row r="12" ht="15" customHeight="1" s="23">
      <c r="A12" s="36" t="inlineStr">
        <is>
          <t>GR-2030</t>
        </is>
      </c>
      <c r="B12" s="36" t="inlineStr">
        <is>
          <t>Kenwood Station Apts</t>
        </is>
      </c>
      <c r="C12" s="36" t="inlineStr">
        <is>
          <t>IN</t>
        </is>
      </c>
      <c r="D12" s="37" t="n">
        <v>62730.46</v>
      </c>
      <c r="E12" s="39" t="n">
        <v>13985036</v>
      </c>
      <c r="F12" s="36" t="n">
        <v>68</v>
      </c>
      <c r="G12" s="36" t="n">
        <v>92.09999999999999</v>
      </c>
      <c r="H12" s="36" t="inlineStr">
        <is>
          <t>N</t>
        </is>
      </c>
      <c r="I12" s="36" t="inlineStr">
        <is>
          <t>Quoted</t>
        </is>
      </c>
      <c r="J12" s="36" t="n">
        <v>21.9</v>
      </c>
      <c r="K12" s="36" t="inlineStr">
        <is>
          <t>Y</t>
        </is>
      </c>
    </row>
    <row r="13" ht="15" customHeight="1" s="23">
      <c r="A13" s="36" t="inlineStr">
        <is>
          <t>GR-2033</t>
        </is>
      </c>
      <c r="B13" s="36" t="inlineStr">
        <is>
          <t>Lincolnwood Place LLC</t>
        </is>
      </c>
      <c r="C13" s="36" t="inlineStr">
        <is>
          <t>MN</t>
        </is>
      </c>
      <c r="D13" s="37" t="n">
        <v>52180</v>
      </c>
      <c r="E13" s="39" t="n">
        <v>6840000</v>
      </c>
      <c r="F13" s="36" t="n">
        <v>72</v>
      </c>
      <c r="G13" s="36" t="n">
        <v>88.40000000000001</v>
      </c>
      <c r="H13" s="36" t="inlineStr">
        <is>
          <t>N</t>
        </is>
      </c>
      <c r="I13" s="36" t="inlineStr">
        <is>
          <t>Quoted</t>
        </is>
      </c>
      <c r="J13" s="36" t="n">
        <v>19.2</v>
      </c>
      <c r="K13" s="36" t="inlineStr">
        <is>
          <t>Y</t>
        </is>
      </c>
    </row>
    <row r="14" ht="15" customHeight="1" s="23">
      <c r="A14" s="36" t="inlineStr">
        <is>
          <t>GR-2036</t>
        </is>
      </c>
      <c r="B14" s="36" t="inlineStr">
        <is>
          <t>Monon Trail Residences</t>
        </is>
      </c>
      <c r="C14" s="36" t="inlineStr">
        <is>
          <t>IN</t>
        </is>
      </c>
      <c r="D14" s="37" t="n">
        <v>52729.12</v>
      </c>
      <c r="E14" s="39" t="n">
        <v>15151359</v>
      </c>
      <c r="F14" s="36" t="n">
        <v>140</v>
      </c>
      <c r="G14" s="36" t="n">
        <v>94.3</v>
      </c>
      <c r="H14" s="36" t="inlineStr">
        <is>
          <t>N</t>
        </is>
      </c>
      <c r="I14" s="36" t="inlineStr">
        <is>
          <t>Quoted</t>
        </is>
      </c>
      <c r="J14" s="36" t="n">
        <v>13.1</v>
      </c>
      <c r="K14" s="36" t="inlineStr">
        <is>
          <t>Y</t>
        </is>
      </c>
    </row>
    <row r="15" ht="15" customHeight="1" s="23">
      <c r="A15" s="36" t="inlineStr">
        <is>
          <t>GR-2039</t>
        </is>
      </c>
      <c r="B15" s="36" t="inlineStr">
        <is>
          <t>Norwood Court Apts</t>
        </is>
      </c>
      <c r="C15" s="36" t="inlineStr">
        <is>
          <t>MI</t>
        </is>
      </c>
      <c r="D15" s="37" t="n">
        <v>54743.51</v>
      </c>
      <c r="E15" s="39" t="n">
        <v>8760788</v>
      </c>
      <c r="F15" s="36" t="n">
        <v>144</v>
      </c>
      <c r="G15" s="36" t="n">
        <v>94.40000000000001</v>
      </c>
      <c r="H15" s="36" t="inlineStr">
        <is>
          <t>N</t>
        </is>
      </c>
      <c r="I15" s="36" t="inlineStr">
        <is>
          <t>Quoted</t>
        </is>
      </c>
      <c r="J15" s="36" t="n">
        <v>13.5</v>
      </c>
      <c r="K15" s="36" t="inlineStr">
        <is>
          <t>Y</t>
        </is>
      </c>
    </row>
    <row r="16" ht="15" customHeight="1" s="23">
      <c r="A16" s="36" t="inlineStr">
        <is>
          <t>GR-2042</t>
        </is>
      </c>
      <c r="B16" s="36" t="inlineStr">
        <is>
          <t>Ottawa River Flats</t>
        </is>
      </c>
      <c r="C16" s="36" t="inlineStr">
        <is>
          <t>MI</t>
        </is>
      </c>
      <c r="D16" s="37" t="n">
        <v>68307.56</v>
      </c>
      <c r="E16" s="39" t="n">
        <v>18278951</v>
      </c>
      <c r="F16" s="36" t="n">
        <v>127</v>
      </c>
      <c r="G16" s="36" t="n">
        <v>92.59999999999999</v>
      </c>
      <c r="H16" s="36" t="inlineStr">
        <is>
          <t>N</t>
        </is>
      </c>
      <c r="I16" s="36" t="inlineStr">
        <is>
          <t>Quoted</t>
        </is>
      </c>
      <c r="J16" s="36" t="n">
        <v>16.3</v>
      </c>
      <c r="K16" s="36" t="inlineStr">
        <is>
          <t>Y</t>
        </is>
      </c>
    </row>
    <row r="17" ht="15" customHeight="1" s="23">
      <c r="A17" s="36" t="inlineStr">
        <is>
          <t>GR-2045</t>
        </is>
      </c>
      <c r="B17" s="36" t="inlineStr">
        <is>
          <t>Pullman Yard Housing</t>
        </is>
      </c>
      <c r="C17" s="36" t="inlineStr">
        <is>
          <t>MO</t>
        </is>
      </c>
      <c r="D17" s="37" t="n">
        <v>95337.42999999999</v>
      </c>
      <c r="E17" s="39" t="n">
        <v>16888588</v>
      </c>
      <c r="F17" s="36" t="n">
        <v>100</v>
      </c>
      <c r="G17" s="36" t="n">
        <v>95</v>
      </c>
      <c r="H17" s="36" t="inlineStr">
        <is>
          <t>N</t>
        </is>
      </c>
      <c r="I17" s="36" t="inlineStr">
        <is>
          <t>Quoted</t>
        </is>
      </c>
      <c r="J17" s="36" t="n">
        <v>27.2</v>
      </c>
      <c r="K17" s="36" t="inlineStr">
        <is>
          <t>Y</t>
        </is>
      </c>
    </row>
    <row r="18" ht="15" customHeight="1" s="23">
      <c r="A18" s="36" t="inlineStr">
        <is>
          <t>GR-2047</t>
        </is>
      </c>
      <c r="B18" s="36" t="inlineStr">
        <is>
          <t>Quincy Street Apts LLC</t>
        </is>
      </c>
      <c r="C18" s="36" t="inlineStr">
        <is>
          <t>OH</t>
        </is>
      </c>
      <c r="D18" s="37" t="n">
        <v>61240</v>
      </c>
      <c r="E18" s="39" t="n">
        <v>10280000</v>
      </c>
      <c r="F18" s="36" t="n">
        <v>128</v>
      </c>
      <c r="G18" s="36" t="n">
        <v>94</v>
      </c>
      <c r="H18" s="36" t="inlineStr">
        <is>
          <t>N</t>
        </is>
      </c>
      <c r="I18" s="36" t="inlineStr">
        <is>
          <t>Quoted</t>
        </is>
      </c>
      <c r="J18" s="36" t="n">
        <v>21.3</v>
      </c>
      <c r="K18" s="36" t="inlineStr">
        <is>
          <t>Y</t>
        </is>
      </c>
    </row>
    <row r="19" ht="15" customHeight="1" s="23">
      <c r="A19" s="36" t="inlineStr">
        <is>
          <t>GR-2050</t>
        </is>
      </c>
      <c r="B19" s="36" t="inlineStr">
        <is>
          <t>Ravenswood Arms Co.</t>
        </is>
      </c>
      <c r="C19" s="36" t="inlineStr">
        <is>
          <t>IA</t>
        </is>
      </c>
      <c r="D19" s="37" t="n">
        <v>80785.72</v>
      </c>
      <c r="E19" s="39" t="n">
        <v>16631737</v>
      </c>
      <c r="F19" s="36" t="n">
        <v>83</v>
      </c>
      <c r="G19" s="36" t="n">
        <v>95</v>
      </c>
      <c r="H19" s="36" t="inlineStr">
        <is>
          <t>N</t>
        </is>
      </c>
      <c r="I19" s="36" t="inlineStr">
        <is>
          <t>Quoted</t>
        </is>
      </c>
      <c r="J19" s="36" t="n">
        <v>19.1</v>
      </c>
      <c r="K19" s="36" t="inlineStr">
        <is>
          <t>Y</t>
        </is>
      </c>
    </row>
    <row r="20" ht="15" customHeight="1" s="23">
      <c r="A20" s="36" t="inlineStr">
        <is>
          <t>GR-2053</t>
        </is>
      </c>
      <c r="B20" s="36" t="inlineStr">
        <is>
          <t>Southport Lane LLC</t>
        </is>
      </c>
      <c r="C20" s="36" t="inlineStr">
        <is>
          <t>OH</t>
        </is>
      </c>
      <c r="D20" s="37" t="n">
        <v>56098.72</v>
      </c>
      <c r="E20" s="39" t="n">
        <v>8562115</v>
      </c>
      <c r="F20" s="36" t="n">
        <v>104</v>
      </c>
      <c r="G20" s="36" t="n">
        <v>92.59999999999999</v>
      </c>
      <c r="H20" s="36" t="inlineStr">
        <is>
          <t>Y</t>
        </is>
      </c>
      <c r="I20" s="36" t="inlineStr">
        <is>
          <t>Quoted</t>
        </is>
      </c>
      <c r="J20" s="36" t="n">
        <v>31.4</v>
      </c>
      <c r="K20" s="36" t="inlineStr">
        <is>
          <t>Y</t>
        </is>
      </c>
    </row>
    <row r="21" ht="15" customHeight="1" s="23">
      <c r="A21" s="36" t="inlineStr">
        <is>
          <t>GR-2056</t>
        </is>
      </c>
      <c r="B21" s="36" t="inlineStr">
        <is>
          <t>Troy Hill Apartments</t>
        </is>
      </c>
      <c r="C21" s="36" t="inlineStr">
        <is>
          <t>OH</t>
        </is>
      </c>
      <c r="D21" s="37" t="n">
        <v>44512.79</v>
      </c>
      <c r="E21" s="39" t="n">
        <v>10406450</v>
      </c>
      <c r="F21" s="36" t="n">
        <v>86</v>
      </c>
      <c r="G21" s="36" t="n">
        <v>97.5</v>
      </c>
      <c r="H21" s="36" t="inlineStr">
        <is>
          <t>N</t>
        </is>
      </c>
      <c r="I21" s="36" t="inlineStr">
        <is>
          <t>Quoted</t>
        </is>
      </c>
      <c r="J21" s="36" t="n">
        <v>33.9</v>
      </c>
      <c r="K21" s="36" t="inlineStr">
        <is>
          <t>Y</t>
        </is>
      </c>
    </row>
    <row r="22" ht="15" customHeight="1" s="23">
      <c r="A22" s="36" t="inlineStr">
        <is>
          <t>GR-2059</t>
        </is>
      </c>
      <c r="B22" s="36" t="inlineStr">
        <is>
          <t>Union Depot Lofts LLC</t>
        </is>
      </c>
      <c r="C22" s="36" t="inlineStr">
        <is>
          <t>OH</t>
        </is>
      </c>
      <c r="D22" s="37" t="n">
        <v>88435.17999999999</v>
      </c>
      <c r="E22" s="39" t="n">
        <v>17028888</v>
      </c>
      <c r="F22" s="36" t="n">
        <v>166</v>
      </c>
      <c r="G22" s="36" t="n">
        <v>91.8</v>
      </c>
      <c r="H22" s="36" t="inlineStr">
        <is>
          <t>N</t>
        </is>
      </c>
      <c r="I22" s="36" t="inlineStr">
        <is>
          <t>Quoted</t>
        </is>
      </c>
      <c r="J22" s="36" t="n">
        <v>23.2</v>
      </c>
      <c r="K22" s="36" t="inlineStr">
        <is>
          <t>Y</t>
        </is>
      </c>
    </row>
    <row r="23" ht="15" customHeight="1" s="23">
      <c r="A23" s="36" t="inlineStr">
        <is>
          <t>GR-2062</t>
        </is>
      </c>
      <c r="B23" s="36" t="inlineStr">
        <is>
          <t>Vernon Park Residences</t>
        </is>
      </c>
      <c r="C23" s="36" t="inlineStr">
        <is>
          <t>IL</t>
        </is>
      </c>
      <c r="D23" s="37" t="n">
        <v>67739.13</v>
      </c>
      <c r="E23" s="39" t="n">
        <v>11181395</v>
      </c>
      <c r="F23" s="36" t="n">
        <v>149</v>
      </c>
      <c r="G23" s="36" t="n">
        <v>92.5</v>
      </c>
      <c r="H23" s="36" t="inlineStr">
        <is>
          <t>N</t>
        </is>
      </c>
      <c r="I23" s="36" t="inlineStr">
        <is>
          <t>Quoted</t>
        </is>
      </c>
      <c r="J23" s="36" t="n">
        <v>26.1</v>
      </c>
      <c r="K23" s="36" t="inlineStr">
        <is>
          <t>Y</t>
        </is>
      </c>
    </row>
    <row r="24" ht="15" customHeight="1" s="23">
      <c r="A24" s="36" t="inlineStr">
        <is>
          <t>GR-2065</t>
        </is>
      </c>
      <c r="B24" s="36" t="inlineStr">
        <is>
          <t>Campus Edge Housing Co.</t>
        </is>
      </c>
      <c r="C24" s="36" t="inlineStr">
        <is>
          <t>OH</t>
        </is>
      </c>
      <c r="D24" s="37" t="n">
        <v>60820.87</v>
      </c>
      <c r="E24" s="39" t="n">
        <v>18149517</v>
      </c>
      <c r="F24" s="36" t="n">
        <v>131</v>
      </c>
      <c r="G24" s="36" t="n">
        <v>97.7</v>
      </c>
      <c r="H24" s="36" t="inlineStr">
        <is>
          <t>N</t>
        </is>
      </c>
      <c r="I24" s="36" t="inlineStr">
        <is>
          <t>Quoted</t>
        </is>
      </c>
      <c r="J24" s="36" t="n">
        <v>29.7</v>
      </c>
      <c r="K24" s="36" t="inlineStr">
        <is>
          <t>Y</t>
        </is>
      </c>
    </row>
    <row r="25" ht="15" customHeight="1" s="23">
      <c r="A25" s="36" t="inlineStr">
        <is>
          <t>GR-2068</t>
        </is>
      </c>
      <c r="B25" s="36" t="inlineStr">
        <is>
          <t>Westchester Court LLC</t>
        </is>
      </c>
      <c r="C25" s="36" t="inlineStr">
        <is>
          <t>IL</t>
        </is>
      </c>
      <c r="D25" s="37" t="n">
        <v>84020.88</v>
      </c>
      <c r="E25" s="39" t="n">
        <v>17390496</v>
      </c>
      <c r="F25" s="36" t="n">
        <v>77</v>
      </c>
      <c r="G25" s="36" t="n">
        <v>95.7</v>
      </c>
      <c r="H25" s="36" t="inlineStr">
        <is>
          <t>Y</t>
        </is>
      </c>
      <c r="I25" s="36" t="inlineStr">
        <is>
          <t>Quoted</t>
        </is>
      </c>
      <c r="J25" s="36" t="n">
        <v>21.1</v>
      </c>
      <c r="K25" s="36" t="inlineStr">
        <is>
          <t>Y</t>
        </is>
      </c>
    </row>
    <row r="26" ht="15" customHeight="1" s="23">
      <c r="A26" s="36" t="inlineStr">
        <is>
          <t>GR-2071</t>
        </is>
      </c>
      <c r="B26" s="36" t="inlineStr">
        <is>
          <t>Buckeye Garden Apts LLC</t>
        </is>
      </c>
      <c r="C26" s="36" t="inlineStr">
        <is>
          <t>MO</t>
        </is>
      </c>
      <c r="D26" s="37" t="n">
        <v>49959.06</v>
      </c>
      <c r="E26" s="39" t="n">
        <v>9120000</v>
      </c>
      <c r="F26" s="36" t="n">
        <v>104</v>
      </c>
      <c r="G26" s="36" t="n">
        <v>95.09999999999999</v>
      </c>
      <c r="H26" s="36" t="inlineStr">
        <is>
          <t>N</t>
        </is>
      </c>
      <c r="I26" s="36" t="inlineStr">
        <is>
          <t>Quoted</t>
        </is>
      </c>
      <c r="J26" s="36" t="n">
        <v>14.8</v>
      </c>
      <c r="K26" s="36" t="inlineStr">
        <is>
          <t>Y</t>
        </is>
      </c>
    </row>
    <row r="27" ht="15" customHeight="1" s="23">
      <c r="A27" s="36" t="inlineStr">
        <is>
          <t>GR-2074</t>
        </is>
      </c>
      <c r="B27" s="36" t="inlineStr">
        <is>
          <t>Yorktown Flats LLC</t>
        </is>
      </c>
      <c r="C27" s="36" t="inlineStr">
        <is>
          <t>OH</t>
        </is>
      </c>
      <c r="D27" s="37" t="n">
        <v>61833.36</v>
      </c>
      <c r="E27" s="39" t="n">
        <v>14238003</v>
      </c>
      <c r="F27" s="36" t="n">
        <v>54</v>
      </c>
      <c r="G27" s="36" t="n">
        <v>93.8</v>
      </c>
      <c r="H27" s="36" t="inlineStr">
        <is>
          <t>N</t>
        </is>
      </c>
      <c r="I27" s="36" t="inlineStr">
        <is>
          <t>Quoted</t>
        </is>
      </c>
      <c r="J27" s="36" t="n">
        <v>25.3</v>
      </c>
      <c r="K27" s="36" t="inlineStr">
        <is>
          <t>Y</t>
        </is>
      </c>
    </row>
    <row r="28" ht="15" customHeight="1" s="23">
      <c r="A28" s="36" t="inlineStr">
        <is>
          <t>GR-2077</t>
        </is>
      </c>
      <c r="B28" s="36" t="inlineStr">
        <is>
          <t>Zion Road Residences</t>
        </is>
      </c>
      <c r="C28" s="36" t="inlineStr">
        <is>
          <t>IA</t>
        </is>
      </c>
      <c r="D28" s="37" t="n">
        <v>74207.07000000001</v>
      </c>
      <c r="E28" s="39" t="n">
        <v>11919614</v>
      </c>
      <c r="F28" s="36" t="n">
        <v>160</v>
      </c>
      <c r="G28" s="36" t="n">
        <v>97.8</v>
      </c>
      <c r="H28" s="36" t="inlineStr">
        <is>
          <t>N</t>
        </is>
      </c>
      <c r="I28" s="36" t="inlineStr">
        <is>
          <t>Quoted</t>
        </is>
      </c>
      <c r="J28" s="36" t="n">
        <v>15.5</v>
      </c>
      <c r="K28" s="36" t="inlineStr">
        <is>
          <t>Y</t>
        </is>
      </c>
    </row>
    <row r="29" ht="15" customHeight="1" s="23">
      <c r="A29" s="36" t="inlineStr">
        <is>
          <t>GR-2080</t>
        </is>
      </c>
      <c r="B29" s="36" t="inlineStr">
        <is>
          <t>Archer Avenue Apts LLC</t>
        </is>
      </c>
      <c r="C29" s="36" t="inlineStr">
        <is>
          <t>IL</t>
        </is>
      </c>
      <c r="D29" s="37" t="n">
        <v>83442.5</v>
      </c>
      <c r="E29" s="39" t="n">
        <v>13067392</v>
      </c>
      <c r="F29" s="36" t="n">
        <v>74</v>
      </c>
      <c r="G29" s="36" t="n">
        <v>97.40000000000001</v>
      </c>
      <c r="H29" s="36" t="inlineStr">
        <is>
          <t>N</t>
        </is>
      </c>
      <c r="I29" s="36" t="inlineStr">
        <is>
          <t>Quoted</t>
        </is>
      </c>
      <c r="J29" s="36" t="n">
        <v>14.9</v>
      </c>
      <c r="K29" s="36" t="inlineStr">
        <is>
          <t>Y</t>
        </is>
      </c>
    </row>
    <row r="30" ht="15" customHeight="1" s="23">
      <c r="A30" s="36" t="inlineStr">
        <is>
          <t>GR-2083</t>
        </is>
      </c>
      <c r="B30" s="36" t="inlineStr">
        <is>
          <t>Belmont Court Partners</t>
        </is>
      </c>
      <c r="C30" s="36" t="inlineStr">
        <is>
          <t>MI</t>
        </is>
      </c>
      <c r="D30" s="37" t="n">
        <v>77606.69</v>
      </c>
      <c r="E30" s="39" t="n">
        <v>12526182</v>
      </c>
      <c r="F30" s="36" t="n">
        <v>177</v>
      </c>
      <c r="G30" s="36" t="n">
        <v>93.3</v>
      </c>
      <c r="H30" s="36" t="inlineStr">
        <is>
          <t>N</t>
        </is>
      </c>
      <c r="I30" s="36" t="inlineStr">
        <is>
          <t>Quoted</t>
        </is>
      </c>
      <c r="J30" s="36" t="n">
        <v>28.4</v>
      </c>
      <c r="K30" s="36" t="inlineStr">
        <is>
          <t>Y</t>
        </is>
      </c>
    </row>
    <row r="31" ht="15" customHeight="1" s="23">
      <c r="A31" s="36" t="inlineStr">
        <is>
          <t>GR-2086</t>
        </is>
      </c>
      <c r="B31" s="36" t="inlineStr">
        <is>
          <t>Cermak Place LLC</t>
        </is>
      </c>
      <c r="C31" s="36" t="inlineStr">
        <is>
          <t>MN</t>
        </is>
      </c>
      <c r="D31" s="37" t="n">
        <v>93807.95</v>
      </c>
      <c r="E31" s="39" t="n">
        <v>12292897</v>
      </c>
      <c r="F31" s="36" t="n">
        <v>52</v>
      </c>
      <c r="G31" s="36" t="n">
        <v>96.09999999999999</v>
      </c>
      <c r="H31" s="36" t="inlineStr">
        <is>
          <t>N</t>
        </is>
      </c>
      <c r="I31" s="36" t="inlineStr">
        <is>
          <t>Quoted</t>
        </is>
      </c>
      <c r="J31" s="36" t="n">
        <v>16.1</v>
      </c>
      <c r="K31" s="36" t="inlineStr">
        <is>
          <t>Y</t>
        </is>
      </c>
    </row>
    <row r="32" ht="15" customHeight="1" s="23">
      <c r="A32" s="36" t="inlineStr">
        <is>
          <t>GR-2089</t>
        </is>
      </c>
      <c r="B32" s="36" t="inlineStr">
        <is>
          <t>Devonshire Arms LLC</t>
        </is>
      </c>
      <c r="C32" s="36" t="inlineStr">
        <is>
          <t>MN</t>
        </is>
      </c>
      <c r="D32" s="37" t="n">
        <v>67380</v>
      </c>
      <c r="E32" s="39" t="n">
        <v>8960000</v>
      </c>
      <c r="F32" s="36" t="n">
        <v>96</v>
      </c>
      <c r="G32" s="36" t="n">
        <v>95.8</v>
      </c>
      <c r="H32" s="36" t="inlineStr">
        <is>
          <t>N</t>
        </is>
      </c>
      <c r="I32" s="36" t="inlineStr">
        <is>
          <t>Renewal Ready</t>
        </is>
      </c>
      <c r="J32" s="36" t="n">
        <v>24.7</v>
      </c>
      <c r="K32" s="36" t="inlineStr">
        <is>
          <t>Y</t>
        </is>
      </c>
    </row>
    <row r="33" ht="15" customHeight="1" s="23">
      <c r="A33" s="36" t="inlineStr">
        <is>
          <t>GR-2092</t>
        </is>
      </c>
      <c r="B33" s="36" t="inlineStr">
        <is>
          <t>Elston Crossing Apts</t>
        </is>
      </c>
      <c r="C33" s="36" t="inlineStr">
        <is>
          <t>OH</t>
        </is>
      </c>
      <c r="D33" s="37" t="n">
        <v>52150.45</v>
      </c>
      <c r="E33" s="39" t="n">
        <v>14160417</v>
      </c>
      <c r="F33" s="36" t="n">
        <v>76</v>
      </c>
      <c r="G33" s="36" t="n">
        <v>95.59999999999999</v>
      </c>
      <c r="H33" s="36" t="inlineStr">
        <is>
          <t>Y</t>
        </is>
      </c>
      <c r="I33" s="36" t="inlineStr">
        <is>
          <t>Quoted</t>
        </is>
      </c>
      <c r="J33" s="36" t="n">
        <v>16</v>
      </c>
      <c r="K33" s="36" t="inlineStr">
        <is>
          <t>Y</t>
        </is>
      </c>
    </row>
    <row r="34" ht="15" customHeight="1" s="23">
      <c r="A34" s="36" t="inlineStr">
        <is>
          <t>GR-2113</t>
        </is>
      </c>
      <c r="B34" s="36" t="inlineStr">
        <is>
          <t>Fulton Market Residences</t>
        </is>
      </c>
      <c r="C34" s="36" t="inlineStr">
        <is>
          <t>IL</t>
        </is>
      </c>
      <c r="D34" s="37" t="n">
        <v>78450</v>
      </c>
      <c r="E34" s="39" t="n">
        <v>11840000</v>
      </c>
      <c r="F34" s="36" t="n">
        <v>142</v>
      </c>
      <c r="G34" s="36" t="n">
        <v>96.09999999999999</v>
      </c>
      <c r="H34" s="36" t="inlineStr">
        <is>
          <t>N</t>
        </is>
      </c>
      <c r="I34" s="36" t="inlineStr">
        <is>
          <t>Quoted</t>
        </is>
      </c>
      <c r="J34" s="36" t="n">
        <v>28.4</v>
      </c>
      <c r="K34" s="36" t="inlineStr">
        <is>
          <t>Y</t>
        </is>
      </c>
    </row>
    <row r="35" ht="15" customHeight="1" s="23">
      <c r="A35" s="36" t="inlineStr">
        <is>
          <t>GR-2162</t>
        </is>
      </c>
      <c r="B35" s="36" t="inlineStr">
        <is>
          <t>Grandview Portfolio LLC</t>
        </is>
      </c>
      <c r="C35" s="36" t="inlineStr">
        <is>
          <t>OH</t>
        </is>
      </c>
      <c r="D35" s="37" t="n">
        <v>392850</v>
      </c>
      <c r="E35" s="39" t="n">
        <v>48260000</v>
      </c>
      <c r="F35" s="36" t="n">
        <v>412</v>
      </c>
      <c r="G35" s="36" t="n">
        <v>93.40000000000001</v>
      </c>
      <c r="H35" s="36" t="inlineStr">
        <is>
          <t>N</t>
        </is>
      </c>
      <c r="I35" s="36" t="inlineStr">
        <is>
          <t>Quoted</t>
        </is>
      </c>
      <c r="J35" s="36" t="n">
        <v>31.8</v>
      </c>
      <c r="K35" s="36" t="inlineStr">
        <is>
          <t>Y</t>
        </is>
      </c>
    </row>
    <row r="36" ht="15" customHeight="1" s="23">
      <c r="A36" s="36" t="inlineStr">
        <is>
          <t>GR-2195</t>
        </is>
      </c>
      <c r="B36" s="36" t="inlineStr">
        <is>
          <t>Humboldt Yard Apts LLC</t>
        </is>
      </c>
      <c r="C36" s="36" t="inlineStr">
        <is>
          <t>MN</t>
        </is>
      </c>
      <c r="D36" s="37" t="n">
        <v>48620</v>
      </c>
      <c r="E36" s="39" t="n">
        <v>7420000</v>
      </c>
      <c r="F36" s="36" t="n">
        <v>88</v>
      </c>
      <c r="G36" s="36" t="n">
        <v>92.59999999999999</v>
      </c>
      <c r="H36" s="36" t="inlineStr">
        <is>
          <t>N</t>
        </is>
      </c>
      <c r="I36" s="36" t="inlineStr">
        <is>
          <t>Quoted</t>
        </is>
      </c>
      <c r="J36" s="36" t="n">
        <v>48.2</v>
      </c>
      <c r="K36" s="36" t="inlineStr">
        <is>
          <t>Y</t>
        </is>
      </c>
    </row>
    <row r="37" ht="15" customHeight="1" s="23">
      <c r="A37" s="36" t="inlineStr">
        <is>
          <t>GR-2200</t>
        </is>
      </c>
      <c r="B37" s="36" t="inlineStr">
        <is>
          <t>Indiana Ave Partners LLC</t>
        </is>
      </c>
      <c r="C37" s="36" t="inlineStr">
        <is>
          <t>IN</t>
        </is>
      </c>
      <c r="D37" s="37" t="n">
        <v>82603.3</v>
      </c>
      <c r="E37" s="39" t="n">
        <v>11805363</v>
      </c>
      <c r="F37" s="36" t="n">
        <v>153</v>
      </c>
      <c r="G37" s="36" t="n">
        <v>94.3</v>
      </c>
      <c r="H37" s="36" t="inlineStr">
        <is>
          <t>N</t>
        </is>
      </c>
      <c r="I37" s="36" t="inlineStr">
        <is>
          <t>Quoted</t>
        </is>
      </c>
      <c r="J37" s="36" t="n">
        <v>26.3</v>
      </c>
      <c r="K37" s="36" t="inlineStr">
        <is>
          <t>Y</t>
        </is>
      </c>
    </row>
  </sheetData>
  <autoFilter ref="A1:K3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R76"/>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3" customWidth="1" style="22" min="1" max="1"/>
    <col width="11" customWidth="1" style="22" min="2" max="2"/>
    <col width="14" customWidth="1" style="22" min="3" max="3"/>
    <col width="7" customWidth="1" style="22" min="4" max="4"/>
    <col width="14" customWidth="1" style="22" min="5" max="5"/>
    <col width="9" customWidth="1" style="22" min="6" max="6"/>
    <col width="12" customWidth="1" style="22" min="7" max="7"/>
    <col width="10" customWidth="1" style="22" min="8" max="8"/>
    <col width="9" customWidth="1" style="22" min="9" max="9"/>
    <col width="14" customWidth="1" style="22" min="10" max="11"/>
    <col width="15" customWidth="1" style="22" min="12" max="12"/>
    <col width="13" customWidth="1" style="22" min="13" max="15"/>
    <col width="14" customWidth="1" style="22" min="16" max="16"/>
    <col width="16" customWidth="1" style="22" min="17" max="18"/>
  </cols>
  <sheetData>
    <row r="1" ht="43.5" customHeight="1" s="23">
      <c r="A1" s="31" t="inlineStr">
        <is>
          <t>location_id</t>
        </is>
      </c>
      <c r="B1" s="31" t="inlineStr">
        <is>
          <t>account_id</t>
        </is>
      </c>
      <c r="C1" s="31" t="inlineStr">
        <is>
          <t>address_city</t>
        </is>
      </c>
      <c r="D1" s="31" t="inlineStr">
        <is>
          <t>state</t>
        </is>
      </c>
      <c r="E1" s="31" t="inlineStr">
        <is>
          <t>building_tiv</t>
        </is>
      </c>
      <c r="F1" s="31" t="inlineStr">
        <is>
          <t>unit_count</t>
        </is>
      </c>
      <c r="G1" s="31" t="inlineStr">
        <is>
          <t>subsidized_unit_count</t>
        </is>
      </c>
      <c r="H1" s="31" t="inlineStr">
        <is>
          <t>protection_class</t>
        </is>
      </c>
      <c r="I1" s="31" t="inlineStr">
        <is>
          <t>vacancy_flag</t>
        </is>
      </c>
      <c r="J1" s="31" t="inlineStr">
        <is>
          <t>sprinkler_inspection_date</t>
        </is>
      </c>
      <c r="K1" s="31" t="inlineStr">
        <is>
          <t>fire_alarm_inspection_date</t>
        </is>
      </c>
      <c r="L1" s="31" t="inlineStr">
        <is>
          <t>pool_liability_flag</t>
        </is>
      </c>
      <c r="M1" s="31" t="inlineStr">
        <is>
          <t>broker_confirmation</t>
        </is>
      </c>
      <c r="N1" s="31" t="inlineStr">
        <is>
          <t>sprinkler_days_before_eff</t>
        </is>
      </c>
      <c r="O1" s="31" t="inlineStr">
        <is>
          <t>fire_alarm_days_before_eff</t>
        </is>
      </c>
      <c r="P1" s="31" t="inlineStr">
        <is>
          <t>life_safety_lapse (&gt;30 days)</t>
        </is>
      </c>
      <c r="Q1" s="31" t="inlineStr">
        <is>
          <t>attritional_incurred_36mo</t>
        </is>
      </c>
      <c r="R1" s="31" t="inlineStr">
        <is>
          <t>vacancy_Y_broker_not_yes</t>
        </is>
      </c>
    </row>
    <row r="2" ht="15" customHeight="1" s="23">
      <c r="A2" s="36" t="inlineStr">
        <is>
          <t>HAB-2001-A</t>
        </is>
      </c>
      <c r="B2" s="36" t="inlineStr">
        <is>
          <t>GR-2001</t>
        </is>
      </c>
      <c r="C2" s="36" t="inlineStr">
        <is>
          <t>Chicago</t>
        </is>
      </c>
      <c r="D2" s="36" t="inlineStr">
        <is>
          <t>IL</t>
        </is>
      </c>
      <c r="E2" s="39" t="n">
        <v>6447696</v>
      </c>
      <c r="F2" s="36" t="n">
        <v>94</v>
      </c>
      <c r="G2" s="36" t="n">
        <v>0</v>
      </c>
      <c r="H2" s="36" t="n">
        <v>4</v>
      </c>
      <c r="I2" s="36" t="inlineStr">
        <is>
          <t>N</t>
        </is>
      </c>
      <c r="J2" s="44" t="n">
        <v>45920</v>
      </c>
      <c r="K2" s="44" t="n">
        <v>45906</v>
      </c>
      <c r="L2" s="36" t="inlineStr">
        <is>
          <t>N</t>
        </is>
      </c>
      <c r="M2" s="36" t="inlineStr">
        <is>
          <t>yes</t>
        </is>
      </c>
      <c r="N2" s="36">
        <f>Executive_Summary!$C$5-J2</f>
        <v/>
      </c>
      <c r="O2" s="36">
        <f>Executive_Summary!$C$5-K2</f>
        <v/>
      </c>
      <c r="P2" s="36">
        <f>IF(OR(N2&gt;Executive_Summary!$C$6,O2&gt;Executive_Summary!$C$6),1,0)</f>
        <v/>
      </c>
      <c r="Q2" s="37">
        <f>SUMIFS(Src_LossRun!$J$2:$J$43,Src_LossRun!$B$2:$B$43,A2)</f>
        <v/>
      </c>
      <c r="R2" s="36">
        <f>IF(AND(I2="Y",M2&lt;&gt;"yes"),1,0)</f>
        <v/>
      </c>
    </row>
    <row r="3" ht="15" customHeight="1" s="23">
      <c r="A3" s="36" t="inlineStr">
        <is>
          <t>HAB-2001-B</t>
        </is>
      </c>
      <c r="B3" s="36" t="inlineStr">
        <is>
          <t>GR-2001</t>
        </is>
      </c>
      <c r="C3" s="36" t="inlineStr">
        <is>
          <t>Peoria</t>
        </is>
      </c>
      <c r="D3" s="36" t="inlineStr">
        <is>
          <t>IL</t>
        </is>
      </c>
      <c r="E3" s="39" t="n">
        <v>5596182</v>
      </c>
      <c r="F3" s="36" t="n">
        <v>89</v>
      </c>
      <c r="G3" s="36" t="n">
        <v>0</v>
      </c>
      <c r="H3" s="36" t="n">
        <v>5</v>
      </c>
      <c r="I3" s="36" t="inlineStr">
        <is>
          <t>N</t>
        </is>
      </c>
      <c r="J3" s="44" t="n">
        <v>45920</v>
      </c>
      <c r="K3" s="44" t="n">
        <v>45913</v>
      </c>
      <c r="L3" s="36" t="inlineStr">
        <is>
          <t>N</t>
        </is>
      </c>
      <c r="M3" s="36" t="inlineStr">
        <is>
          <t>yes</t>
        </is>
      </c>
      <c r="N3" s="36">
        <f>Executive_Summary!$C$5-J3</f>
        <v/>
      </c>
      <c r="O3" s="36">
        <f>Executive_Summary!$C$5-K3</f>
        <v/>
      </c>
      <c r="P3" s="36">
        <f>IF(OR(N3&gt;Executive_Summary!$C$6,O3&gt;Executive_Summary!$C$6),1,0)</f>
        <v/>
      </c>
      <c r="Q3" s="37">
        <f>SUMIFS(Src_LossRun!$J$2:$J$43,Src_LossRun!$B$2:$B$43,A3)</f>
        <v/>
      </c>
      <c r="R3" s="36">
        <f>IF(AND(I3="Y",M3&lt;&gt;"yes"),1,0)</f>
        <v/>
      </c>
    </row>
    <row r="4" ht="15" customHeight="1" s="23">
      <c r="A4" s="36" t="inlineStr">
        <is>
          <t>HAB-2004-A</t>
        </is>
      </c>
      <c r="B4" s="36" t="inlineStr">
        <is>
          <t>GR-2004</t>
        </is>
      </c>
      <c r="C4" s="36" t="inlineStr">
        <is>
          <t>Minneapolis</t>
        </is>
      </c>
      <c r="D4" s="36" t="inlineStr">
        <is>
          <t>MN</t>
        </is>
      </c>
      <c r="E4" s="39" t="n">
        <v>5413418</v>
      </c>
      <c r="F4" s="36" t="n">
        <v>33</v>
      </c>
      <c r="G4" s="36" t="n">
        <v>0</v>
      </c>
      <c r="H4" s="36" t="n">
        <v>3</v>
      </c>
      <c r="I4" s="36" t="inlineStr">
        <is>
          <t>N</t>
        </is>
      </c>
      <c r="J4" s="44" t="n">
        <v>45920</v>
      </c>
      <c r="K4" s="44" t="n">
        <v>45923</v>
      </c>
      <c r="L4" s="36" t="inlineStr">
        <is>
          <t>N</t>
        </is>
      </c>
      <c r="M4" s="36" t="inlineStr">
        <is>
          <t>yes</t>
        </is>
      </c>
      <c r="N4" s="36">
        <f>Executive_Summary!$C$5-J4</f>
        <v/>
      </c>
      <c r="O4" s="36">
        <f>Executive_Summary!$C$5-K4</f>
        <v/>
      </c>
      <c r="P4" s="36">
        <f>IF(OR(N4&gt;Executive_Summary!$C$6,O4&gt;Executive_Summary!$C$6),1,0)</f>
        <v/>
      </c>
      <c r="Q4" s="37">
        <f>SUMIFS(Src_LossRun!$J$2:$J$43,Src_LossRun!$B$2:$B$43,A4)</f>
        <v/>
      </c>
      <c r="R4" s="36">
        <f>IF(AND(I4="Y",M4&lt;&gt;"yes"),1,0)</f>
        <v/>
      </c>
    </row>
    <row r="5" ht="15" customHeight="1" s="23">
      <c r="A5" s="36" t="inlineStr">
        <is>
          <t>HAB-2004-B</t>
        </is>
      </c>
      <c r="B5" s="36" t="inlineStr">
        <is>
          <t>GR-2004</t>
        </is>
      </c>
      <c r="C5" s="36" t="inlineStr">
        <is>
          <t>Minneapolis</t>
        </is>
      </c>
      <c r="D5" s="36" t="inlineStr">
        <is>
          <t>MN</t>
        </is>
      </c>
      <c r="E5" s="39" t="n">
        <v>4578850</v>
      </c>
      <c r="F5" s="36" t="n">
        <v>34</v>
      </c>
      <c r="G5" s="36" t="n">
        <v>0</v>
      </c>
      <c r="H5" s="36" t="n">
        <v>5</v>
      </c>
      <c r="I5" s="36" t="inlineStr">
        <is>
          <t>N</t>
        </is>
      </c>
      <c r="J5" s="44" t="n">
        <v>45905</v>
      </c>
      <c r="K5" s="44" t="n">
        <v>45905</v>
      </c>
      <c r="L5" s="36" t="inlineStr">
        <is>
          <t>N</t>
        </is>
      </c>
      <c r="M5" s="36" t="inlineStr">
        <is>
          <t>yes</t>
        </is>
      </c>
      <c r="N5" s="36">
        <f>Executive_Summary!$C$5-J5</f>
        <v/>
      </c>
      <c r="O5" s="36">
        <f>Executive_Summary!$C$5-K5</f>
        <v/>
      </c>
      <c r="P5" s="36">
        <f>IF(OR(N5&gt;Executive_Summary!$C$6,O5&gt;Executive_Summary!$C$6),1,0)</f>
        <v/>
      </c>
      <c r="Q5" s="37">
        <f>SUMIFS(Src_LossRun!$J$2:$J$43,Src_LossRun!$B$2:$B$43,A5)</f>
        <v/>
      </c>
      <c r="R5" s="36">
        <f>IF(AND(I5="Y",M5&lt;&gt;"yes"),1,0)</f>
        <v/>
      </c>
    </row>
    <row r="6" ht="15" customHeight="1" s="23">
      <c r="A6" s="36" t="inlineStr">
        <is>
          <t>HAB-2007-A</t>
        </is>
      </c>
      <c r="B6" s="36" t="inlineStr">
        <is>
          <t>GR-2007</t>
        </is>
      </c>
      <c r="C6" s="36" t="inlineStr">
        <is>
          <t>Indianapolis</t>
        </is>
      </c>
      <c r="D6" s="36" t="inlineStr">
        <is>
          <t>IN</t>
        </is>
      </c>
      <c r="E6" s="39" t="n">
        <v>5415014</v>
      </c>
      <c r="F6" s="36" t="n">
        <v>48</v>
      </c>
      <c r="G6" s="36" t="n">
        <v>0</v>
      </c>
      <c r="H6" s="36" t="n">
        <v>5</v>
      </c>
      <c r="I6" s="36" t="inlineStr">
        <is>
          <t>N</t>
        </is>
      </c>
      <c r="J6" s="44" t="n">
        <v>45914</v>
      </c>
      <c r="K6" s="44" t="n">
        <v>45919</v>
      </c>
      <c r="L6" s="36" t="inlineStr">
        <is>
          <t>N</t>
        </is>
      </c>
      <c r="M6" s="36" t="inlineStr">
        <is>
          <t>yes</t>
        </is>
      </c>
      <c r="N6" s="36">
        <f>Executive_Summary!$C$5-J6</f>
        <v/>
      </c>
      <c r="O6" s="36">
        <f>Executive_Summary!$C$5-K6</f>
        <v/>
      </c>
      <c r="P6" s="36">
        <f>IF(OR(N6&gt;Executive_Summary!$C$6,O6&gt;Executive_Summary!$C$6),1,0)</f>
        <v/>
      </c>
      <c r="Q6" s="37">
        <f>SUMIFS(Src_LossRun!$J$2:$J$43,Src_LossRun!$B$2:$B$43,A6)</f>
        <v/>
      </c>
      <c r="R6" s="36">
        <f>IF(AND(I6="Y",M6&lt;&gt;"yes"),1,0)</f>
        <v/>
      </c>
    </row>
    <row r="7" ht="15" customHeight="1" s="23">
      <c r="A7" s="36" t="inlineStr">
        <is>
          <t>HAB-2007-B</t>
        </is>
      </c>
      <c r="B7" s="36" t="inlineStr">
        <is>
          <t>GR-2007</t>
        </is>
      </c>
      <c r="C7" s="36" t="inlineStr">
        <is>
          <t>Indianapolis</t>
        </is>
      </c>
      <c r="D7" s="36" t="inlineStr">
        <is>
          <t>IN</t>
        </is>
      </c>
      <c r="E7" s="39" t="n">
        <v>4837199</v>
      </c>
      <c r="F7" s="36" t="n">
        <v>49</v>
      </c>
      <c r="G7" s="36" t="n">
        <v>0</v>
      </c>
      <c r="H7" s="36" t="n">
        <v>2</v>
      </c>
      <c r="I7" s="36" t="inlineStr">
        <is>
          <t>N</t>
        </is>
      </c>
      <c r="J7" s="44" t="n">
        <v>45921</v>
      </c>
      <c r="K7" s="44" t="n">
        <v>45914</v>
      </c>
      <c r="L7" s="36" t="inlineStr">
        <is>
          <t>N</t>
        </is>
      </c>
      <c r="M7" s="36" t="inlineStr">
        <is>
          <t>yes</t>
        </is>
      </c>
      <c r="N7" s="36">
        <f>Executive_Summary!$C$5-J7</f>
        <v/>
      </c>
      <c r="O7" s="36">
        <f>Executive_Summary!$C$5-K7</f>
        <v/>
      </c>
      <c r="P7" s="36">
        <f>IF(OR(N7&gt;Executive_Summary!$C$6,O7&gt;Executive_Summary!$C$6),1,0)</f>
        <v/>
      </c>
      <c r="Q7" s="37">
        <f>SUMIFS(Src_LossRun!$J$2:$J$43,Src_LossRun!$B$2:$B$43,A7)</f>
        <v/>
      </c>
      <c r="R7" s="36">
        <f>IF(AND(I7="Y",M7&lt;&gt;"yes"),1,0)</f>
        <v/>
      </c>
    </row>
    <row r="8" ht="15" customHeight="1" s="23">
      <c r="A8" s="36" t="inlineStr">
        <is>
          <t>HAB-2010-A</t>
        </is>
      </c>
      <c r="B8" s="36" t="inlineStr">
        <is>
          <t>GR-2010</t>
        </is>
      </c>
      <c r="C8" s="36" t="inlineStr">
        <is>
          <t>Des Moines</t>
        </is>
      </c>
      <c r="D8" s="36" t="inlineStr">
        <is>
          <t>IA</t>
        </is>
      </c>
      <c r="E8" s="39" t="n">
        <v>8306159</v>
      </c>
      <c r="F8" s="36" t="n">
        <v>66</v>
      </c>
      <c r="G8" s="36" t="n">
        <v>0</v>
      </c>
      <c r="H8" s="36" t="n">
        <v>3</v>
      </c>
      <c r="I8" s="36" t="inlineStr">
        <is>
          <t>N</t>
        </is>
      </c>
      <c r="J8" s="44" t="n">
        <v>45905</v>
      </c>
      <c r="K8" s="44" t="n">
        <v>45909</v>
      </c>
      <c r="L8" s="36" t="inlineStr">
        <is>
          <t>N</t>
        </is>
      </c>
      <c r="M8" s="36" t="inlineStr">
        <is>
          <t>yes</t>
        </is>
      </c>
      <c r="N8" s="36">
        <f>Executive_Summary!$C$5-J8</f>
        <v/>
      </c>
      <c r="O8" s="36">
        <f>Executive_Summary!$C$5-K8</f>
        <v/>
      </c>
      <c r="P8" s="36">
        <f>IF(OR(N8&gt;Executive_Summary!$C$6,O8&gt;Executive_Summary!$C$6),1,0)</f>
        <v/>
      </c>
      <c r="Q8" s="37">
        <f>SUMIFS(Src_LossRun!$J$2:$J$43,Src_LossRun!$B$2:$B$43,A8)</f>
        <v/>
      </c>
      <c r="R8" s="36">
        <f>IF(AND(I8="Y",M8&lt;&gt;"yes"),1,0)</f>
        <v/>
      </c>
    </row>
    <row r="9" ht="15" customHeight="1" s="23">
      <c r="A9" s="36" t="inlineStr">
        <is>
          <t>HAB-2010-B</t>
        </is>
      </c>
      <c r="B9" s="36" t="inlineStr">
        <is>
          <t>GR-2010</t>
        </is>
      </c>
      <c r="C9" s="36" t="inlineStr">
        <is>
          <t>Des Moines</t>
        </is>
      </c>
      <c r="D9" s="36" t="inlineStr">
        <is>
          <t>IA</t>
        </is>
      </c>
      <c r="E9" s="39" t="n">
        <v>7770591</v>
      </c>
      <c r="F9" s="36" t="n">
        <v>62</v>
      </c>
      <c r="G9" s="36" t="n">
        <v>0</v>
      </c>
      <c r="H9" s="36" t="n">
        <v>5</v>
      </c>
      <c r="I9" s="36" t="inlineStr">
        <is>
          <t>N</t>
        </is>
      </c>
      <c r="J9" s="44" t="n">
        <v>45919</v>
      </c>
      <c r="K9" s="44" t="n">
        <v>45922</v>
      </c>
      <c r="L9" s="36" t="inlineStr">
        <is>
          <t>N</t>
        </is>
      </c>
      <c r="M9" s="36" t="inlineStr">
        <is>
          <t>yes</t>
        </is>
      </c>
      <c r="N9" s="36">
        <f>Executive_Summary!$C$5-J9</f>
        <v/>
      </c>
      <c r="O9" s="36">
        <f>Executive_Summary!$C$5-K9</f>
        <v/>
      </c>
      <c r="P9" s="36">
        <f>IF(OR(N9&gt;Executive_Summary!$C$6,O9&gt;Executive_Summary!$C$6),1,0)</f>
        <v/>
      </c>
      <c r="Q9" s="37">
        <f>SUMIFS(Src_LossRun!$J$2:$J$43,Src_LossRun!$B$2:$B$43,A9)</f>
        <v/>
      </c>
      <c r="R9" s="36">
        <f>IF(AND(I9="Y",M9&lt;&gt;"yes"),1,0)</f>
        <v/>
      </c>
    </row>
    <row r="10" ht="15" customHeight="1" s="23">
      <c r="A10" s="36" t="inlineStr">
        <is>
          <t>HAB-2013-A</t>
        </is>
      </c>
      <c r="B10" s="36" t="inlineStr">
        <is>
          <t>GR-2013</t>
        </is>
      </c>
      <c r="C10" s="36" t="inlineStr">
        <is>
          <t>Peoria</t>
        </is>
      </c>
      <c r="D10" s="36" t="inlineStr">
        <is>
          <t>IL</t>
        </is>
      </c>
      <c r="E10" s="39" t="n">
        <v>5144071</v>
      </c>
      <c r="F10" s="36" t="n">
        <v>75</v>
      </c>
      <c r="G10" s="36" t="n">
        <v>0</v>
      </c>
      <c r="H10" s="36" t="n">
        <v>4</v>
      </c>
      <c r="I10" s="36" t="inlineStr">
        <is>
          <t>N</t>
        </is>
      </c>
      <c r="J10" s="44" t="n">
        <v>45907</v>
      </c>
      <c r="K10" s="44" t="n">
        <v>45917</v>
      </c>
      <c r="L10" s="36" t="inlineStr">
        <is>
          <t>N</t>
        </is>
      </c>
      <c r="M10" s="36" t="inlineStr">
        <is>
          <t>yes</t>
        </is>
      </c>
      <c r="N10" s="36">
        <f>Executive_Summary!$C$5-J10</f>
        <v/>
      </c>
      <c r="O10" s="36">
        <f>Executive_Summary!$C$5-K10</f>
        <v/>
      </c>
      <c r="P10" s="36">
        <f>IF(OR(N10&gt;Executive_Summary!$C$6,O10&gt;Executive_Summary!$C$6),1,0)</f>
        <v/>
      </c>
      <c r="Q10" s="37">
        <f>SUMIFS(Src_LossRun!$J$2:$J$43,Src_LossRun!$B$2:$B$43,A10)</f>
        <v/>
      </c>
      <c r="R10" s="36">
        <f>IF(AND(I10="Y",M10&lt;&gt;"yes"),1,0)</f>
        <v/>
      </c>
    </row>
    <row r="11" ht="15" customHeight="1" s="23">
      <c r="A11" s="36" t="inlineStr">
        <is>
          <t>HAB-2013-B</t>
        </is>
      </c>
      <c r="B11" s="36" t="inlineStr">
        <is>
          <t>GR-2013</t>
        </is>
      </c>
      <c r="C11" s="36" t="inlineStr">
        <is>
          <t>Peoria</t>
        </is>
      </c>
      <c r="D11" s="36" t="inlineStr">
        <is>
          <t>IL</t>
        </is>
      </c>
      <c r="E11" s="39" t="n">
        <v>5729824</v>
      </c>
      <c r="F11" s="36" t="n">
        <v>88</v>
      </c>
      <c r="G11" s="36" t="n">
        <v>0</v>
      </c>
      <c r="H11" s="36" t="n">
        <v>4</v>
      </c>
      <c r="I11" s="36" t="inlineStr">
        <is>
          <t>N</t>
        </is>
      </c>
      <c r="J11" s="44" t="n">
        <v>45912</v>
      </c>
      <c r="K11" s="44" t="n">
        <v>45905</v>
      </c>
      <c r="L11" s="36" t="inlineStr">
        <is>
          <t>N</t>
        </is>
      </c>
      <c r="M11" s="36" t="inlineStr">
        <is>
          <t>yes</t>
        </is>
      </c>
      <c r="N11" s="36">
        <f>Executive_Summary!$C$5-J11</f>
        <v/>
      </c>
      <c r="O11" s="36">
        <f>Executive_Summary!$C$5-K11</f>
        <v/>
      </c>
      <c r="P11" s="36">
        <f>IF(OR(N11&gt;Executive_Summary!$C$6,O11&gt;Executive_Summary!$C$6),1,0)</f>
        <v/>
      </c>
      <c r="Q11" s="37">
        <f>SUMIFS(Src_LossRun!$J$2:$J$43,Src_LossRun!$B$2:$B$43,A11)</f>
        <v/>
      </c>
      <c r="R11" s="36">
        <f>IF(AND(I11="Y",M11&lt;&gt;"yes"),1,0)</f>
        <v/>
      </c>
    </row>
    <row r="12" ht="15" customHeight="1" s="23">
      <c r="A12" s="36" t="inlineStr">
        <is>
          <t>HAB-2016-A</t>
        </is>
      </c>
      <c r="B12" s="36" t="inlineStr">
        <is>
          <t>GR-2016</t>
        </is>
      </c>
      <c r="C12" s="36" t="inlineStr">
        <is>
          <t>Des Moines</t>
        </is>
      </c>
      <c r="D12" s="36" t="inlineStr">
        <is>
          <t>IA</t>
        </is>
      </c>
      <c r="E12" s="39" t="n">
        <v>6461335</v>
      </c>
      <c r="F12" s="36" t="n">
        <v>88</v>
      </c>
      <c r="G12" s="36" t="n">
        <v>0</v>
      </c>
      <c r="H12" s="36" t="n">
        <v>4</v>
      </c>
      <c r="I12" s="36" t="inlineStr">
        <is>
          <t>N</t>
        </is>
      </c>
      <c r="J12" s="44" t="n">
        <v>45908</v>
      </c>
      <c r="K12" s="44" t="n">
        <v>45912</v>
      </c>
      <c r="L12" s="36" t="inlineStr">
        <is>
          <t>N</t>
        </is>
      </c>
      <c r="M12" s="36" t="inlineStr">
        <is>
          <t>yes</t>
        </is>
      </c>
      <c r="N12" s="36">
        <f>Executive_Summary!$C$5-J12</f>
        <v/>
      </c>
      <c r="O12" s="36">
        <f>Executive_Summary!$C$5-K12</f>
        <v/>
      </c>
      <c r="P12" s="36">
        <f>IF(OR(N12&gt;Executive_Summary!$C$6,O12&gt;Executive_Summary!$C$6),1,0)</f>
        <v/>
      </c>
      <c r="Q12" s="37">
        <f>SUMIFS(Src_LossRun!$J$2:$J$43,Src_LossRun!$B$2:$B$43,A12)</f>
        <v/>
      </c>
      <c r="R12" s="36">
        <f>IF(AND(I12="Y",M12&lt;&gt;"yes"),1,0)</f>
        <v/>
      </c>
    </row>
    <row r="13" ht="15" customHeight="1" s="23">
      <c r="A13" s="36" t="inlineStr">
        <is>
          <t>HAB-2016-B</t>
        </is>
      </c>
      <c r="B13" s="36" t="inlineStr">
        <is>
          <t>GR-2016</t>
        </is>
      </c>
      <c r="C13" s="36" t="inlineStr">
        <is>
          <t>Des Moines</t>
        </is>
      </c>
      <c r="D13" s="36" t="inlineStr">
        <is>
          <t>IA</t>
        </is>
      </c>
      <c r="E13" s="39" t="n">
        <v>7821725</v>
      </c>
      <c r="F13" s="36" t="n">
        <v>84</v>
      </c>
      <c r="G13" s="36" t="n">
        <v>0</v>
      </c>
      <c r="H13" s="36" t="n">
        <v>4</v>
      </c>
      <c r="I13" s="36" t="inlineStr">
        <is>
          <t>N</t>
        </is>
      </c>
      <c r="J13" s="44" t="n">
        <v>45923</v>
      </c>
      <c r="K13" s="44" t="n">
        <v>45918</v>
      </c>
      <c r="L13" s="36" t="inlineStr">
        <is>
          <t>N</t>
        </is>
      </c>
      <c r="M13" s="36" t="inlineStr">
        <is>
          <t>yes</t>
        </is>
      </c>
      <c r="N13" s="36">
        <f>Executive_Summary!$C$5-J13</f>
        <v/>
      </c>
      <c r="O13" s="36">
        <f>Executive_Summary!$C$5-K13</f>
        <v/>
      </c>
      <c r="P13" s="36">
        <f>IF(OR(N13&gt;Executive_Summary!$C$6,O13&gt;Executive_Summary!$C$6),1,0)</f>
        <v/>
      </c>
      <c r="Q13" s="37">
        <f>SUMIFS(Src_LossRun!$J$2:$J$43,Src_LossRun!$B$2:$B$43,A13)</f>
        <v/>
      </c>
      <c r="R13" s="36">
        <f>IF(AND(I13="Y",M13&lt;&gt;"yes"),1,0)</f>
        <v/>
      </c>
    </row>
    <row r="14" ht="15" customHeight="1" s="23">
      <c r="A14" s="36" t="inlineStr">
        <is>
          <t>HAB-2018-A</t>
        </is>
      </c>
      <c r="B14" s="36" t="inlineStr">
        <is>
          <t>GR-2018</t>
        </is>
      </c>
      <c r="C14" s="36" t="inlineStr">
        <is>
          <t>Des Moines</t>
        </is>
      </c>
      <c r="D14" s="36" t="inlineStr">
        <is>
          <t>IA</t>
        </is>
      </c>
      <c r="E14" s="39" t="n">
        <v>4748092</v>
      </c>
      <c r="F14" s="36" t="n">
        <v>61</v>
      </c>
      <c r="G14" s="36" t="n">
        <v>0</v>
      </c>
      <c r="H14" s="36" t="n">
        <v>2</v>
      </c>
      <c r="I14" s="36" t="inlineStr">
        <is>
          <t>N</t>
        </is>
      </c>
      <c r="J14" s="44" t="n">
        <v>45918</v>
      </c>
      <c r="K14" s="44" t="n">
        <v>45909</v>
      </c>
      <c r="L14" s="36" t="inlineStr">
        <is>
          <t>N</t>
        </is>
      </c>
      <c r="M14" s="36" t="inlineStr">
        <is>
          <t>yes</t>
        </is>
      </c>
      <c r="N14" s="36">
        <f>Executive_Summary!$C$5-J14</f>
        <v/>
      </c>
      <c r="O14" s="36">
        <f>Executive_Summary!$C$5-K14</f>
        <v/>
      </c>
      <c r="P14" s="36">
        <f>IF(OR(N14&gt;Executive_Summary!$C$6,O14&gt;Executive_Summary!$C$6),1,0)</f>
        <v/>
      </c>
      <c r="Q14" s="37">
        <f>SUMIFS(Src_LossRun!$J$2:$J$43,Src_LossRun!$B$2:$B$43,A14)</f>
        <v/>
      </c>
      <c r="R14" s="36">
        <f>IF(AND(I14="Y",M14&lt;&gt;"yes"),1,0)</f>
        <v/>
      </c>
    </row>
    <row r="15" ht="15" customHeight="1" s="23">
      <c r="A15" s="36" t="inlineStr">
        <is>
          <t>HAB-2018-B</t>
        </is>
      </c>
      <c r="B15" s="36" t="inlineStr">
        <is>
          <t>GR-2018</t>
        </is>
      </c>
      <c r="C15" s="36" t="inlineStr">
        <is>
          <t>Des Moines</t>
        </is>
      </c>
      <c r="D15" s="36" t="inlineStr">
        <is>
          <t>IA</t>
        </is>
      </c>
      <c r="E15" s="39" t="n">
        <v>4582248</v>
      </c>
      <c r="F15" s="36" t="n">
        <v>51</v>
      </c>
      <c r="G15" s="36" t="n">
        <v>0</v>
      </c>
      <c r="H15" s="36" t="n">
        <v>5</v>
      </c>
      <c r="I15" s="36" t="inlineStr">
        <is>
          <t>N</t>
        </is>
      </c>
      <c r="J15" s="44" t="n">
        <v>45921</v>
      </c>
      <c r="K15" s="44" t="n">
        <v>45906</v>
      </c>
      <c r="L15" s="36" t="inlineStr">
        <is>
          <t>N</t>
        </is>
      </c>
      <c r="M15" s="36" t="inlineStr">
        <is>
          <t>yes</t>
        </is>
      </c>
      <c r="N15" s="36">
        <f>Executive_Summary!$C$5-J15</f>
        <v/>
      </c>
      <c r="O15" s="36">
        <f>Executive_Summary!$C$5-K15</f>
        <v/>
      </c>
      <c r="P15" s="36">
        <f>IF(OR(N15&gt;Executive_Summary!$C$6,O15&gt;Executive_Summary!$C$6),1,0)</f>
        <v/>
      </c>
      <c r="Q15" s="37">
        <f>SUMIFS(Src_LossRun!$J$2:$J$43,Src_LossRun!$B$2:$B$43,A15)</f>
        <v/>
      </c>
      <c r="R15" s="36">
        <f>IF(AND(I15="Y",M15&lt;&gt;"yes"),1,0)</f>
        <v/>
      </c>
    </row>
    <row r="16" ht="15" customHeight="1" s="23">
      <c r="A16" s="36" t="inlineStr">
        <is>
          <t>HAB-2021-A</t>
        </is>
      </c>
      <c r="B16" s="36" t="inlineStr">
        <is>
          <t>GR-2021</t>
        </is>
      </c>
      <c r="C16" s="36" t="inlineStr">
        <is>
          <t>Columbus</t>
        </is>
      </c>
      <c r="D16" s="36" t="inlineStr">
        <is>
          <t>OH</t>
        </is>
      </c>
      <c r="E16" s="39" t="n">
        <v>4287179</v>
      </c>
      <c r="F16" s="36" t="n">
        <v>54</v>
      </c>
      <c r="G16" s="36" t="n">
        <v>0</v>
      </c>
      <c r="H16" s="36" t="n">
        <v>3</v>
      </c>
      <c r="I16" s="36" t="inlineStr">
        <is>
          <t>N</t>
        </is>
      </c>
      <c r="J16" s="44" t="n">
        <v>45908</v>
      </c>
      <c r="K16" s="44" t="n">
        <v>45915</v>
      </c>
      <c r="L16" s="36" t="inlineStr">
        <is>
          <t>N</t>
        </is>
      </c>
      <c r="M16" s="36" t="inlineStr">
        <is>
          <t>yes</t>
        </is>
      </c>
      <c r="N16" s="36">
        <f>Executive_Summary!$C$5-J16</f>
        <v/>
      </c>
      <c r="O16" s="36">
        <f>Executive_Summary!$C$5-K16</f>
        <v/>
      </c>
      <c r="P16" s="36">
        <f>IF(OR(N16&gt;Executive_Summary!$C$6,O16&gt;Executive_Summary!$C$6),1,0)</f>
        <v/>
      </c>
      <c r="Q16" s="37">
        <f>SUMIFS(Src_LossRun!$J$2:$J$43,Src_LossRun!$B$2:$B$43,A16)</f>
        <v/>
      </c>
      <c r="R16" s="36">
        <f>IF(AND(I16="Y",M16&lt;&gt;"yes"),1,0)</f>
        <v/>
      </c>
    </row>
    <row r="17" ht="15" customHeight="1" s="23">
      <c r="A17" s="36" t="inlineStr">
        <is>
          <t>HAB-2021-B</t>
        </is>
      </c>
      <c r="B17" s="36" t="inlineStr">
        <is>
          <t>GR-2021</t>
        </is>
      </c>
      <c r="C17" s="36" t="inlineStr">
        <is>
          <t>Columbus</t>
        </is>
      </c>
      <c r="D17" s="36" t="inlineStr">
        <is>
          <t>OH</t>
        </is>
      </c>
      <c r="E17" s="39" t="n">
        <v>4025326</v>
      </c>
      <c r="F17" s="36" t="n">
        <v>55</v>
      </c>
      <c r="G17" s="36" t="n">
        <v>0</v>
      </c>
      <c r="H17" s="36" t="n">
        <v>5</v>
      </c>
      <c r="I17" s="36" t="inlineStr">
        <is>
          <t>N</t>
        </is>
      </c>
      <c r="J17" s="44" t="n">
        <v>45906</v>
      </c>
      <c r="K17" s="44" t="n">
        <v>45923</v>
      </c>
      <c r="L17" s="36" t="inlineStr">
        <is>
          <t>N</t>
        </is>
      </c>
      <c r="M17" s="36" t="inlineStr">
        <is>
          <t>yes</t>
        </is>
      </c>
      <c r="N17" s="36">
        <f>Executive_Summary!$C$5-J17</f>
        <v/>
      </c>
      <c r="O17" s="36">
        <f>Executive_Summary!$C$5-K17</f>
        <v/>
      </c>
      <c r="P17" s="36">
        <f>IF(OR(N17&gt;Executive_Summary!$C$6,O17&gt;Executive_Summary!$C$6),1,0)</f>
        <v/>
      </c>
      <c r="Q17" s="37">
        <f>SUMIFS(Src_LossRun!$J$2:$J$43,Src_LossRun!$B$2:$B$43,A17)</f>
        <v/>
      </c>
      <c r="R17" s="36">
        <f>IF(AND(I17="Y",M17&lt;&gt;"yes"),1,0)</f>
        <v/>
      </c>
    </row>
    <row r="18" ht="15" customHeight="1" s="23">
      <c r="A18" s="36" t="inlineStr">
        <is>
          <t>HAB-2024-A</t>
        </is>
      </c>
      <c r="B18" s="36" t="inlineStr">
        <is>
          <t>GR-2024</t>
        </is>
      </c>
      <c r="C18" s="36" t="inlineStr">
        <is>
          <t>Chicago</t>
        </is>
      </c>
      <c r="D18" s="36" t="inlineStr">
        <is>
          <t>IL</t>
        </is>
      </c>
      <c r="E18" s="39" t="n">
        <v>6537485</v>
      </c>
      <c r="F18" s="36" t="n">
        <v>53</v>
      </c>
      <c r="G18" s="36" t="n">
        <v>0</v>
      </c>
      <c r="H18" s="36" t="n">
        <v>4</v>
      </c>
      <c r="I18" s="36" t="inlineStr">
        <is>
          <t>N</t>
        </is>
      </c>
      <c r="J18" s="44" t="n">
        <v>45909</v>
      </c>
      <c r="K18" s="44" t="n">
        <v>45916</v>
      </c>
      <c r="L18" s="36" t="inlineStr">
        <is>
          <t>N</t>
        </is>
      </c>
      <c r="M18" s="36" t="inlineStr">
        <is>
          <t>yes</t>
        </is>
      </c>
      <c r="N18" s="36">
        <f>Executive_Summary!$C$5-J18</f>
        <v/>
      </c>
      <c r="O18" s="36">
        <f>Executive_Summary!$C$5-K18</f>
        <v/>
      </c>
      <c r="P18" s="36">
        <f>IF(OR(N18&gt;Executive_Summary!$C$6,O18&gt;Executive_Summary!$C$6),1,0)</f>
        <v/>
      </c>
      <c r="Q18" s="37">
        <f>SUMIFS(Src_LossRun!$J$2:$J$43,Src_LossRun!$B$2:$B$43,A18)</f>
        <v/>
      </c>
      <c r="R18" s="36">
        <f>IF(AND(I18="Y",M18&lt;&gt;"yes"),1,0)</f>
        <v/>
      </c>
    </row>
    <row r="19" ht="15" customHeight="1" s="23">
      <c r="A19" s="36" t="inlineStr">
        <is>
          <t>HAB-2024-B</t>
        </is>
      </c>
      <c r="B19" s="36" t="inlineStr">
        <is>
          <t>GR-2024</t>
        </is>
      </c>
      <c r="C19" s="36" t="inlineStr">
        <is>
          <t>Peoria</t>
        </is>
      </c>
      <c r="D19" s="36" t="inlineStr">
        <is>
          <t>IL</t>
        </is>
      </c>
      <c r="E19" s="39" t="n">
        <v>6357512</v>
      </c>
      <c r="F19" s="36" t="n">
        <v>63</v>
      </c>
      <c r="G19" s="36" t="n">
        <v>0</v>
      </c>
      <c r="H19" s="36" t="n">
        <v>3</v>
      </c>
      <c r="I19" s="36" t="inlineStr">
        <is>
          <t>N</t>
        </is>
      </c>
      <c r="J19" s="44" t="n">
        <v>45904</v>
      </c>
      <c r="K19" s="44" t="n">
        <v>45919</v>
      </c>
      <c r="L19" s="36" t="inlineStr">
        <is>
          <t>N</t>
        </is>
      </c>
      <c r="M19" s="36" t="inlineStr">
        <is>
          <t>yes</t>
        </is>
      </c>
      <c r="N19" s="36">
        <f>Executive_Summary!$C$5-J19</f>
        <v/>
      </c>
      <c r="O19" s="36">
        <f>Executive_Summary!$C$5-K19</f>
        <v/>
      </c>
      <c r="P19" s="36">
        <f>IF(OR(N19&gt;Executive_Summary!$C$6,O19&gt;Executive_Summary!$C$6),1,0)</f>
        <v/>
      </c>
      <c r="Q19" s="37">
        <f>SUMIFS(Src_LossRun!$J$2:$J$43,Src_LossRun!$B$2:$B$43,A19)</f>
        <v/>
      </c>
      <c r="R19" s="36">
        <f>IF(AND(I19="Y",M19&lt;&gt;"yes"),1,0)</f>
        <v/>
      </c>
    </row>
    <row r="20" ht="15" customHeight="1" s="23">
      <c r="A20" s="36" t="inlineStr">
        <is>
          <t>HAB-2027-A</t>
        </is>
      </c>
      <c r="B20" s="36" t="inlineStr">
        <is>
          <t>GR-2027</t>
        </is>
      </c>
      <c r="C20" s="36" t="inlineStr">
        <is>
          <t>Cleveland</t>
        </is>
      </c>
      <c r="D20" s="36" t="inlineStr">
        <is>
          <t>OH</t>
        </is>
      </c>
      <c r="E20" s="39" t="n">
        <v>4829520</v>
      </c>
      <c r="F20" s="36" t="n">
        <v>64</v>
      </c>
      <c r="G20" s="36" t="n">
        <v>0</v>
      </c>
      <c r="H20" s="36" t="n">
        <v>4</v>
      </c>
      <c r="I20" s="36" t="inlineStr">
        <is>
          <t>N</t>
        </is>
      </c>
      <c r="J20" s="44" t="n">
        <v>45907</v>
      </c>
      <c r="K20" s="44" t="n">
        <v>45909</v>
      </c>
      <c r="L20" s="36" t="inlineStr">
        <is>
          <t>N</t>
        </is>
      </c>
      <c r="M20" s="36" t="inlineStr">
        <is>
          <t>yes</t>
        </is>
      </c>
      <c r="N20" s="36">
        <f>Executive_Summary!$C$5-J20</f>
        <v/>
      </c>
      <c r="O20" s="36">
        <f>Executive_Summary!$C$5-K20</f>
        <v/>
      </c>
      <c r="P20" s="36">
        <f>IF(OR(N20&gt;Executive_Summary!$C$6,O20&gt;Executive_Summary!$C$6),1,0)</f>
        <v/>
      </c>
      <c r="Q20" s="37">
        <f>SUMIFS(Src_LossRun!$J$2:$J$43,Src_LossRun!$B$2:$B$43,A20)</f>
        <v/>
      </c>
      <c r="R20" s="36">
        <f>IF(AND(I20="Y",M20&lt;&gt;"yes"),1,0)</f>
        <v/>
      </c>
    </row>
    <row r="21" ht="15" customHeight="1" s="23">
      <c r="A21" s="36" t="inlineStr">
        <is>
          <t>HAB-2027-B</t>
        </is>
      </c>
      <c r="B21" s="36" t="inlineStr">
        <is>
          <t>GR-2027</t>
        </is>
      </c>
      <c r="C21" s="36" t="inlineStr">
        <is>
          <t>Cleveland</t>
        </is>
      </c>
      <c r="D21" s="36" t="inlineStr">
        <is>
          <t>OH</t>
        </is>
      </c>
      <c r="E21" s="39" t="n">
        <v>3977403</v>
      </c>
      <c r="F21" s="36" t="n">
        <v>68</v>
      </c>
      <c r="G21" s="36" t="n">
        <v>0</v>
      </c>
      <c r="H21" s="36" t="n">
        <v>3</v>
      </c>
      <c r="I21" s="36" t="inlineStr">
        <is>
          <t>N</t>
        </is>
      </c>
      <c r="J21" s="44" t="n">
        <v>45922</v>
      </c>
      <c r="K21" s="44" t="n">
        <v>45913</v>
      </c>
      <c r="L21" s="36" t="inlineStr">
        <is>
          <t>N</t>
        </is>
      </c>
      <c r="M21" s="36" t="inlineStr">
        <is>
          <t>yes</t>
        </is>
      </c>
      <c r="N21" s="36">
        <f>Executive_Summary!$C$5-J21</f>
        <v/>
      </c>
      <c r="O21" s="36">
        <f>Executive_Summary!$C$5-K21</f>
        <v/>
      </c>
      <c r="P21" s="36">
        <f>IF(OR(N21&gt;Executive_Summary!$C$6,O21&gt;Executive_Summary!$C$6),1,0)</f>
        <v/>
      </c>
      <c r="Q21" s="37">
        <f>SUMIFS(Src_LossRun!$J$2:$J$43,Src_LossRun!$B$2:$B$43,A21)</f>
        <v/>
      </c>
      <c r="R21" s="36">
        <f>IF(AND(I21="Y",M21&lt;&gt;"yes"),1,0)</f>
        <v/>
      </c>
    </row>
    <row r="22" ht="15" customHeight="1" s="23">
      <c r="A22" s="36" t="inlineStr">
        <is>
          <t>HAB-2030-A</t>
        </is>
      </c>
      <c r="B22" s="36" t="inlineStr">
        <is>
          <t>GR-2030</t>
        </is>
      </c>
      <c r="C22" s="36" t="inlineStr">
        <is>
          <t>Indianapolis</t>
        </is>
      </c>
      <c r="D22" s="36" t="inlineStr">
        <is>
          <t>IN</t>
        </is>
      </c>
      <c r="E22" s="39" t="n">
        <v>6779365</v>
      </c>
      <c r="F22" s="36" t="n">
        <v>33</v>
      </c>
      <c r="G22" s="36" t="n">
        <v>0</v>
      </c>
      <c r="H22" s="36" t="n">
        <v>2</v>
      </c>
      <c r="I22" s="36" t="inlineStr">
        <is>
          <t>N</t>
        </is>
      </c>
      <c r="J22" s="44" t="n">
        <v>45919</v>
      </c>
      <c r="K22" s="44" t="n">
        <v>45903</v>
      </c>
      <c r="L22" s="36" t="inlineStr">
        <is>
          <t>N</t>
        </is>
      </c>
      <c r="M22" s="36" t="inlineStr">
        <is>
          <t>yes</t>
        </is>
      </c>
      <c r="N22" s="36">
        <f>Executive_Summary!$C$5-J22</f>
        <v/>
      </c>
      <c r="O22" s="36">
        <f>Executive_Summary!$C$5-K22</f>
        <v/>
      </c>
      <c r="P22" s="36">
        <f>IF(OR(N22&gt;Executive_Summary!$C$6,O22&gt;Executive_Summary!$C$6),1,0)</f>
        <v/>
      </c>
      <c r="Q22" s="37">
        <f>SUMIFS(Src_LossRun!$J$2:$J$43,Src_LossRun!$B$2:$B$43,A22)</f>
        <v/>
      </c>
      <c r="R22" s="36">
        <f>IF(AND(I22="Y",M22&lt;&gt;"yes"),1,0)</f>
        <v/>
      </c>
    </row>
    <row r="23" ht="15" customHeight="1" s="23">
      <c r="A23" s="36" t="inlineStr">
        <is>
          <t>HAB-2030-B</t>
        </is>
      </c>
      <c r="B23" s="36" t="inlineStr">
        <is>
          <t>GR-2030</t>
        </is>
      </c>
      <c r="C23" s="36" t="inlineStr">
        <is>
          <t>Indianapolis</t>
        </is>
      </c>
      <c r="D23" s="36" t="inlineStr">
        <is>
          <t>IN</t>
        </is>
      </c>
      <c r="E23" s="39" t="n">
        <v>7205822</v>
      </c>
      <c r="F23" s="36" t="n">
        <v>35</v>
      </c>
      <c r="G23" s="36" t="n">
        <v>0</v>
      </c>
      <c r="H23" s="36" t="n">
        <v>4</v>
      </c>
      <c r="I23" s="36" t="inlineStr">
        <is>
          <t>N</t>
        </is>
      </c>
      <c r="J23" s="44" t="n">
        <v>45916</v>
      </c>
      <c r="K23" s="44" t="n">
        <v>45907</v>
      </c>
      <c r="L23" s="36" t="inlineStr">
        <is>
          <t>N</t>
        </is>
      </c>
      <c r="M23" s="36" t="inlineStr">
        <is>
          <t>yes</t>
        </is>
      </c>
      <c r="N23" s="36">
        <f>Executive_Summary!$C$5-J23</f>
        <v/>
      </c>
      <c r="O23" s="36">
        <f>Executive_Summary!$C$5-K23</f>
        <v/>
      </c>
      <c r="P23" s="36">
        <f>IF(OR(N23&gt;Executive_Summary!$C$6,O23&gt;Executive_Summary!$C$6),1,0)</f>
        <v/>
      </c>
      <c r="Q23" s="37">
        <f>SUMIFS(Src_LossRun!$J$2:$J$43,Src_LossRun!$B$2:$B$43,A23)</f>
        <v/>
      </c>
      <c r="R23" s="36">
        <f>IF(AND(I23="Y",M23&lt;&gt;"yes"),1,0)</f>
        <v/>
      </c>
    </row>
    <row r="24" ht="15" customHeight="1" s="23">
      <c r="A24" s="36" t="inlineStr">
        <is>
          <t>HAB-2033-A</t>
        </is>
      </c>
      <c r="B24" s="36" t="inlineStr">
        <is>
          <t>GR-2033</t>
        </is>
      </c>
      <c r="C24" s="36" t="inlineStr">
        <is>
          <t>Minneapolis</t>
        </is>
      </c>
      <c r="D24" s="36" t="inlineStr">
        <is>
          <t>MN</t>
        </is>
      </c>
      <c r="E24" s="39" t="n">
        <v>3364614</v>
      </c>
      <c r="F24" s="36" t="n">
        <v>37</v>
      </c>
      <c r="G24" s="36" t="n">
        <v>0</v>
      </c>
      <c r="H24" s="36" t="n">
        <v>5</v>
      </c>
      <c r="I24" s="36" t="inlineStr">
        <is>
          <t>N</t>
        </is>
      </c>
      <c r="J24" s="44" t="n">
        <v>45922</v>
      </c>
      <c r="K24" s="44" t="n">
        <v>45904</v>
      </c>
      <c r="L24" s="36" t="inlineStr">
        <is>
          <t>N</t>
        </is>
      </c>
      <c r="M24" s="36" t="inlineStr">
        <is>
          <t>yes</t>
        </is>
      </c>
      <c r="N24" s="36">
        <f>Executive_Summary!$C$5-J24</f>
        <v/>
      </c>
      <c r="O24" s="36">
        <f>Executive_Summary!$C$5-K24</f>
        <v/>
      </c>
      <c r="P24" s="36">
        <f>IF(OR(N24&gt;Executive_Summary!$C$6,O24&gt;Executive_Summary!$C$6),1,0)</f>
        <v/>
      </c>
      <c r="Q24" s="37">
        <f>SUMIFS(Src_LossRun!$J$2:$J$43,Src_LossRun!$B$2:$B$43,A24)</f>
        <v/>
      </c>
      <c r="R24" s="36">
        <f>IF(AND(I24="Y",M24&lt;&gt;"yes"),1,0)</f>
        <v/>
      </c>
    </row>
    <row r="25" ht="15" customHeight="1" s="23">
      <c r="A25" s="36" t="inlineStr">
        <is>
          <t>HAB-2033-B</t>
        </is>
      </c>
      <c r="B25" s="36" t="inlineStr">
        <is>
          <t>GR-2033</t>
        </is>
      </c>
      <c r="C25" s="36" t="inlineStr">
        <is>
          <t>Minneapolis</t>
        </is>
      </c>
      <c r="D25" s="36" t="inlineStr">
        <is>
          <t>MN</t>
        </is>
      </c>
      <c r="E25" s="39" t="n">
        <v>3492182</v>
      </c>
      <c r="F25" s="36" t="n">
        <v>35</v>
      </c>
      <c r="G25" s="36" t="n">
        <v>0</v>
      </c>
      <c r="H25" s="36" t="n">
        <v>3</v>
      </c>
      <c r="I25" s="36" t="inlineStr">
        <is>
          <t>Y</t>
        </is>
      </c>
      <c r="J25" s="44" t="n">
        <v>45918</v>
      </c>
      <c r="K25" s="44" t="n">
        <v>45913</v>
      </c>
      <c r="L25" s="36" t="inlineStr">
        <is>
          <t>N</t>
        </is>
      </c>
      <c r="M25" s="36" t="inlineStr">
        <is>
          <t>no</t>
        </is>
      </c>
      <c r="N25" s="36">
        <f>Executive_Summary!$C$5-J25</f>
        <v/>
      </c>
      <c r="O25" s="36">
        <f>Executive_Summary!$C$5-K25</f>
        <v/>
      </c>
      <c r="P25" s="36">
        <f>IF(OR(N25&gt;Executive_Summary!$C$6,O25&gt;Executive_Summary!$C$6),1,0)</f>
        <v/>
      </c>
      <c r="Q25" s="37">
        <f>SUMIFS(Src_LossRun!$J$2:$J$43,Src_LossRun!$B$2:$B$43,A25)</f>
        <v/>
      </c>
      <c r="R25" s="36">
        <f>IF(AND(I25="Y",M25&lt;&gt;"yes"),1,0)</f>
        <v/>
      </c>
    </row>
    <row r="26" ht="15" customHeight="1" s="23">
      <c r="A26" s="36" t="inlineStr">
        <is>
          <t>HAB-2036-A</t>
        </is>
      </c>
      <c r="B26" s="36" t="inlineStr">
        <is>
          <t>GR-2036</t>
        </is>
      </c>
      <c r="C26" s="36" t="inlineStr">
        <is>
          <t>Indianapolis</t>
        </is>
      </c>
      <c r="D26" s="36" t="inlineStr">
        <is>
          <t>IN</t>
        </is>
      </c>
      <c r="E26" s="39" t="n">
        <v>7708141</v>
      </c>
      <c r="F26" s="36" t="n">
        <v>69</v>
      </c>
      <c r="G26" s="36" t="n">
        <v>0</v>
      </c>
      <c r="H26" s="36" t="n">
        <v>4</v>
      </c>
      <c r="I26" s="36" t="inlineStr">
        <is>
          <t>N</t>
        </is>
      </c>
      <c r="J26" s="44" t="n">
        <v>45913</v>
      </c>
      <c r="K26" s="44" t="n">
        <v>45910</v>
      </c>
      <c r="L26" s="36" t="inlineStr">
        <is>
          <t>N</t>
        </is>
      </c>
      <c r="M26" s="36" t="inlineStr">
        <is>
          <t>yes</t>
        </is>
      </c>
      <c r="N26" s="36">
        <f>Executive_Summary!$C$5-J26</f>
        <v/>
      </c>
      <c r="O26" s="36">
        <f>Executive_Summary!$C$5-K26</f>
        <v/>
      </c>
      <c r="P26" s="36">
        <f>IF(OR(N26&gt;Executive_Summary!$C$6,O26&gt;Executive_Summary!$C$6),1,0)</f>
        <v/>
      </c>
      <c r="Q26" s="37">
        <f>SUMIFS(Src_LossRun!$J$2:$J$43,Src_LossRun!$B$2:$B$43,A26)</f>
        <v/>
      </c>
      <c r="R26" s="36">
        <f>IF(AND(I26="Y",M26&lt;&gt;"yes"),1,0)</f>
        <v/>
      </c>
    </row>
    <row r="27" ht="15" customHeight="1" s="23">
      <c r="A27" s="36" t="inlineStr">
        <is>
          <t>HAB-2036-B</t>
        </is>
      </c>
      <c r="B27" s="36" t="inlineStr">
        <is>
          <t>GR-2036</t>
        </is>
      </c>
      <c r="C27" s="36" t="inlineStr">
        <is>
          <t>Indianapolis</t>
        </is>
      </c>
      <c r="D27" s="36" t="inlineStr">
        <is>
          <t>IN</t>
        </is>
      </c>
      <c r="E27" s="39" t="n">
        <v>7275494</v>
      </c>
      <c r="F27" s="36" t="n">
        <v>71</v>
      </c>
      <c r="G27" s="36" t="n">
        <v>0</v>
      </c>
      <c r="H27" s="36" t="n">
        <v>5</v>
      </c>
      <c r="I27" s="36" t="inlineStr">
        <is>
          <t>N</t>
        </is>
      </c>
      <c r="J27" s="44" t="n">
        <v>45923</v>
      </c>
      <c r="K27" s="44" t="n">
        <v>45914</v>
      </c>
      <c r="L27" s="36" t="inlineStr">
        <is>
          <t>N</t>
        </is>
      </c>
      <c r="M27" s="36" t="inlineStr">
        <is>
          <t>yes</t>
        </is>
      </c>
      <c r="N27" s="36">
        <f>Executive_Summary!$C$5-J27</f>
        <v/>
      </c>
      <c r="O27" s="36">
        <f>Executive_Summary!$C$5-K27</f>
        <v/>
      </c>
      <c r="P27" s="36">
        <f>IF(OR(N27&gt;Executive_Summary!$C$6,O27&gt;Executive_Summary!$C$6),1,0)</f>
        <v/>
      </c>
      <c r="Q27" s="37">
        <f>SUMIFS(Src_LossRun!$J$2:$J$43,Src_LossRun!$B$2:$B$43,A27)</f>
        <v/>
      </c>
      <c r="R27" s="36">
        <f>IF(AND(I27="Y",M27&lt;&gt;"yes"),1,0)</f>
        <v/>
      </c>
    </row>
    <row r="28" ht="15" customHeight="1" s="23">
      <c r="A28" s="36" t="inlineStr">
        <is>
          <t>HAB-2039-A</t>
        </is>
      </c>
      <c r="B28" s="36" t="inlineStr">
        <is>
          <t>GR-2039</t>
        </is>
      </c>
      <c r="C28" s="36" t="inlineStr">
        <is>
          <t>Grand Rapids</t>
        </is>
      </c>
      <c r="D28" s="36" t="inlineStr">
        <is>
          <t>MI</t>
        </is>
      </c>
      <c r="E28" s="39" t="n">
        <v>4554284</v>
      </c>
      <c r="F28" s="36" t="n">
        <v>68</v>
      </c>
      <c r="G28" s="36" t="n">
        <v>0</v>
      </c>
      <c r="H28" s="36" t="n">
        <v>5</v>
      </c>
      <c r="I28" s="36" t="inlineStr">
        <is>
          <t>N</t>
        </is>
      </c>
      <c r="J28" s="44" t="n">
        <v>45921</v>
      </c>
      <c r="K28" s="44" t="n">
        <v>45918</v>
      </c>
      <c r="L28" s="36" t="inlineStr">
        <is>
          <t>N</t>
        </is>
      </c>
      <c r="M28" s="36" t="inlineStr">
        <is>
          <t>yes</t>
        </is>
      </c>
      <c r="N28" s="36">
        <f>Executive_Summary!$C$5-J28</f>
        <v/>
      </c>
      <c r="O28" s="36">
        <f>Executive_Summary!$C$5-K28</f>
        <v/>
      </c>
      <c r="P28" s="36">
        <f>IF(OR(N28&gt;Executive_Summary!$C$6,O28&gt;Executive_Summary!$C$6),1,0)</f>
        <v/>
      </c>
      <c r="Q28" s="37">
        <f>SUMIFS(Src_LossRun!$J$2:$J$43,Src_LossRun!$B$2:$B$43,A28)</f>
        <v/>
      </c>
      <c r="R28" s="36">
        <f>IF(AND(I28="Y",M28&lt;&gt;"yes"),1,0)</f>
        <v/>
      </c>
    </row>
    <row r="29" ht="15" customHeight="1" s="23">
      <c r="A29" s="36" t="inlineStr">
        <is>
          <t>HAB-2039-B</t>
        </is>
      </c>
      <c r="B29" s="36" t="inlineStr">
        <is>
          <t>GR-2039</t>
        </is>
      </c>
      <c r="C29" s="36" t="inlineStr">
        <is>
          <t>Grand Rapids</t>
        </is>
      </c>
      <c r="D29" s="36" t="inlineStr">
        <is>
          <t>MI</t>
        </is>
      </c>
      <c r="E29" s="39" t="n">
        <v>4166468</v>
      </c>
      <c r="F29" s="36" t="n">
        <v>76</v>
      </c>
      <c r="G29" s="36" t="n">
        <v>0</v>
      </c>
      <c r="H29" s="36" t="n">
        <v>3</v>
      </c>
      <c r="I29" s="36" t="inlineStr">
        <is>
          <t>N</t>
        </is>
      </c>
      <c r="J29" s="44" t="n">
        <v>45906</v>
      </c>
      <c r="K29" s="44" t="n">
        <v>45916</v>
      </c>
      <c r="L29" s="36" t="inlineStr">
        <is>
          <t>N</t>
        </is>
      </c>
      <c r="M29" s="36" t="inlineStr">
        <is>
          <t>yes</t>
        </is>
      </c>
      <c r="N29" s="36">
        <f>Executive_Summary!$C$5-J29</f>
        <v/>
      </c>
      <c r="O29" s="36">
        <f>Executive_Summary!$C$5-K29</f>
        <v/>
      </c>
      <c r="P29" s="36">
        <f>IF(OR(N29&gt;Executive_Summary!$C$6,O29&gt;Executive_Summary!$C$6),1,0)</f>
        <v/>
      </c>
      <c r="Q29" s="37">
        <f>SUMIFS(Src_LossRun!$J$2:$J$43,Src_LossRun!$B$2:$B$43,A29)</f>
        <v/>
      </c>
      <c r="R29" s="36">
        <f>IF(AND(I29="Y",M29&lt;&gt;"yes"),1,0)</f>
        <v/>
      </c>
    </row>
    <row r="30" ht="15" customHeight="1" s="23">
      <c r="A30" s="36" t="inlineStr">
        <is>
          <t>HAB-2042-A</t>
        </is>
      </c>
      <c r="B30" s="36" t="inlineStr">
        <is>
          <t>GR-2042</t>
        </is>
      </c>
      <c r="C30" s="36" t="inlineStr">
        <is>
          <t>Grand Rapids</t>
        </is>
      </c>
      <c r="D30" s="36" t="inlineStr">
        <is>
          <t>MI</t>
        </is>
      </c>
      <c r="E30" s="39" t="n">
        <v>8291260</v>
      </c>
      <c r="F30" s="36" t="n">
        <v>61</v>
      </c>
      <c r="G30" s="36" t="n">
        <v>0</v>
      </c>
      <c r="H30" s="36" t="n">
        <v>4</v>
      </c>
      <c r="I30" s="36" t="inlineStr">
        <is>
          <t>N</t>
        </is>
      </c>
      <c r="J30" s="44" t="n">
        <v>45914</v>
      </c>
      <c r="K30" s="44" t="n">
        <v>45923</v>
      </c>
      <c r="L30" s="36" t="inlineStr">
        <is>
          <t>N</t>
        </is>
      </c>
      <c r="M30" s="36" t="inlineStr">
        <is>
          <t>yes</t>
        </is>
      </c>
      <c r="N30" s="36">
        <f>Executive_Summary!$C$5-J30</f>
        <v/>
      </c>
      <c r="O30" s="36">
        <f>Executive_Summary!$C$5-K30</f>
        <v/>
      </c>
      <c r="P30" s="36">
        <f>IF(OR(N30&gt;Executive_Summary!$C$6,O30&gt;Executive_Summary!$C$6),1,0)</f>
        <v/>
      </c>
      <c r="Q30" s="37">
        <f>SUMIFS(Src_LossRun!$J$2:$J$43,Src_LossRun!$B$2:$B$43,A30)</f>
        <v/>
      </c>
      <c r="R30" s="36">
        <f>IF(AND(I30="Y",M30&lt;&gt;"yes"),1,0)</f>
        <v/>
      </c>
    </row>
    <row r="31" ht="15" customHeight="1" s="23">
      <c r="A31" s="36" t="inlineStr">
        <is>
          <t>HAB-2042-B</t>
        </is>
      </c>
      <c r="B31" s="36" t="inlineStr">
        <is>
          <t>GR-2042</t>
        </is>
      </c>
      <c r="C31" s="36" t="inlineStr">
        <is>
          <t>Grand Rapids</t>
        </is>
      </c>
      <c r="D31" s="36" t="inlineStr">
        <is>
          <t>MI</t>
        </is>
      </c>
      <c r="E31" s="39" t="n">
        <v>9917795</v>
      </c>
      <c r="F31" s="36" t="n">
        <v>66</v>
      </c>
      <c r="G31" s="36" t="n">
        <v>0</v>
      </c>
      <c r="H31" s="36" t="n">
        <v>4</v>
      </c>
      <c r="I31" s="36" t="inlineStr">
        <is>
          <t>N</t>
        </is>
      </c>
      <c r="J31" s="44" t="n">
        <v>45914</v>
      </c>
      <c r="K31" s="44" t="n">
        <v>45920</v>
      </c>
      <c r="L31" s="36" t="inlineStr">
        <is>
          <t>N</t>
        </is>
      </c>
      <c r="M31" s="36" t="inlineStr">
        <is>
          <t>yes</t>
        </is>
      </c>
      <c r="N31" s="36">
        <f>Executive_Summary!$C$5-J31</f>
        <v/>
      </c>
      <c r="O31" s="36">
        <f>Executive_Summary!$C$5-K31</f>
        <v/>
      </c>
      <c r="P31" s="36">
        <f>IF(OR(N31&gt;Executive_Summary!$C$6,O31&gt;Executive_Summary!$C$6),1,0)</f>
        <v/>
      </c>
      <c r="Q31" s="37">
        <f>SUMIFS(Src_LossRun!$J$2:$J$43,Src_LossRun!$B$2:$B$43,A31)</f>
        <v/>
      </c>
      <c r="R31" s="36">
        <f>IF(AND(I31="Y",M31&lt;&gt;"yes"),1,0)</f>
        <v/>
      </c>
    </row>
    <row r="32" ht="15" customHeight="1" s="23">
      <c r="A32" s="36" t="inlineStr">
        <is>
          <t>HAB-2045-A</t>
        </is>
      </c>
      <c r="B32" s="36" t="inlineStr">
        <is>
          <t>GR-2045</t>
        </is>
      </c>
      <c r="C32" s="36" t="inlineStr">
        <is>
          <t>Kansas City</t>
        </is>
      </c>
      <c r="D32" s="36" t="inlineStr">
        <is>
          <t>MO</t>
        </is>
      </c>
      <c r="E32" s="39" t="n">
        <v>8194533</v>
      </c>
      <c r="F32" s="36" t="n">
        <v>50</v>
      </c>
      <c r="G32" s="36" t="n">
        <v>0</v>
      </c>
      <c r="H32" s="36" t="n">
        <v>2</v>
      </c>
      <c r="I32" s="36" t="inlineStr">
        <is>
          <t>N</t>
        </is>
      </c>
      <c r="J32" s="44" t="n">
        <v>45918</v>
      </c>
      <c r="K32" s="44" t="n">
        <v>45904</v>
      </c>
      <c r="L32" s="36" t="inlineStr">
        <is>
          <t>N</t>
        </is>
      </c>
      <c r="M32" s="36" t="inlineStr">
        <is>
          <t>yes</t>
        </is>
      </c>
      <c r="N32" s="36">
        <f>Executive_Summary!$C$5-J32</f>
        <v/>
      </c>
      <c r="O32" s="36">
        <f>Executive_Summary!$C$5-K32</f>
        <v/>
      </c>
      <c r="P32" s="36">
        <f>IF(OR(N32&gt;Executive_Summary!$C$6,O32&gt;Executive_Summary!$C$6),1,0)</f>
        <v/>
      </c>
      <c r="Q32" s="37">
        <f>SUMIFS(Src_LossRun!$J$2:$J$43,Src_LossRun!$B$2:$B$43,A32)</f>
        <v/>
      </c>
      <c r="R32" s="36">
        <f>IF(AND(I32="Y",M32&lt;&gt;"yes"),1,0)</f>
        <v/>
      </c>
    </row>
    <row r="33" ht="15" customHeight="1" s="23">
      <c r="A33" s="36" t="inlineStr">
        <is>
          <t>HAB-2045-B</t>
        </is>
      </c>
      <c r="B33" s="36" t="inlineStr">
        <is>
          <t>GR-2045</t>
        </is>
      </c>
      <c r="C33" s="36" t="inlineStr">
        <is>
          <t>Kansas City</t>
        </is>
      </c>
      <c r="D33" s="36" t="inlineStr">
        <is>
          <t>MO</t>
        </is>
      </c>
      <c r="E33" s="39" t="n">
        <v>8735916</v>
      </c>
      <c r="F33" s="36" t="n">
        <v>50</v>
      </c>
      <c r="G33" s="36" t="n">
        <v>0</v>
      </c>
      <c r="H33" s="36" t="n">
        <v>4</v>
      </c>
      <c r="I33" s="36" t="inlineStr">
        <is>
          <t>N</t>
        </is>
      </c>
      <c r="J33" s="44" t="n">
        <v>45912</v>
      </c>
      <c r="K33" s="44" t="n">
        <v>45917</v>
      </c>
      <c r="L33" s="36" t="inlineStr">
        <is>
          <t>N</t>
        </is>
      </c>
      <c r="M33" s="36" t="inlineStr">
        <is>
          <t>yes</t>
        </is>
      </c>
      <c r="N33" s="36">
        <f>Executive_Summary!$C$5-J33</f>
        <v/>
      </c>
      <c r="O33" s="36">
        <f>Executive_Summary!$C$5-K33</f>
        <v/>
      </c>
      <c r="P33" s="36">
        <f>IF(OR(N33&gt;Executive_Summary!$C$6,O33&gt;Executive_Summary!$C$6),1,0)</f>
        <v/>
      </c>
      <c r="Q33" s="37">
        <f>SUMIFS(Src_LossRun!$J$2:$J$43,Src_LossRun!$B$2:$B$43,A33)</f>
        <v/>
      </c>
      <c r="R33" s="36">
        <f>IF(AND(I33="Y",M33&lt;&gt;"yes"),1,0)</f>
        <v/>
      </c>
    </row>
    <row r="34" ht="15" customHeight="1" s="23">
      <c r="A34" s="36" t="inlineStr">
        <is>
          <t>HAB-2047-A</t>
        </is>
      </c>
      <c r="B34" s="36" t="inlineStr">
        <is>
          <t>GR-2047</t>
        </is>
      </c>
      <c r="C34" s="36" t="inlineStr">
        <is>
          <t>Cleveland</t>
        </is>
      </c>
      <c r="D34" s="36" t="inlineStr">
        <is>
          <t>OH</t>
        </is>
      </c>
      <c r="E34" s="39" t="n">
        <v>3349222</v>
      </c>
      <c r="F34" s="36" t="n">
        <v>40</v>
      </c>
      <c r="G34" s="36" t="n">
        <v>0</v>
      </c>
      <c r="H34" s="36" t="n">
        <v>3</v>
      </c>
      <c r="I34" s="36" t="inlineStr">
        <is>
          <t>N</t>
        </is>
      </c>
      <c r="J34" s="44" t="n">
        <v>45913</v>
      </c>
      <c r="K34" s="44" t="n">
        <v>45914</v>
      </c>
      <c r="L34" s="36" t="inlineStr">
        <is>
          <t>N</t>
        </is>
      </c>
      <c r="M34" s="36" t="inlineStr">
        <is>
          <t>yes</t>
        </is>
      </c>
      <c r="N34" s="36">
        <f>Executive_Summary!$C$5-J34</f>
        <v/>
      </c>
      <c r="O34" s="36">
        <f>Executive_Summary!$C$5-K34</f>
        <v/>
      </c>
      <c r="P34" s="36">
        <f>IF(OR(N34&gt;Executive_Summary!$C$6,O34&gt;Executive_Summary!$C$6),1,0)</f>
        <v/>
      </c>
      <c r="Q34" s="37">
        <f>SUMIFS(Src_LossRun!$J$2:$J$43,Src_LossRun!$B$2:$B$43,A34)</f>
        <v/>
      </c>
      <c r="R34" s="36">
        <f>IF(AND(I34="Y",M34&lt;&gt;"yes"),1,0)</f>
        <v/>
      </c>
    </row>
    <row r="35" ht="15" customHeight="1" s="23">
      <c r="A35" s="36" t="inlineStr">
        <is>
          <t>HAB-2047-B</t>
        </is>
      </c>
      <c r="B35" s="36" t="inlineStr">
        <is>
          <t>GR-2047</t>
        </is>
      </c>
      <c r="C35" s="36" t="inlineStr">
        <is>
          <t>Cleveland</t>
        </is>
      </c>
      <c r="D35" s="36" t="inlineStr">
        <is>
          <t>OH</t>
        </is>
      </c>
      <c r="E35" s="39" t="n">
        <v>3684487</v>
      </c>
      <c r="F35" s="36" t="n">
        <v>43</v>
      </c>
      <c r="G35" s="36" t="n">
        <v>0</v>
      </c>
      <c r="H35" s="36" t="n">
        <v>2</v>
      </c>
      <c r="I35" s="36" t="inlineStr">
        <is>
          <t>Y</t>
        </is>
      </c>
      <c r="J35" s="44" t="n">
        <v>45904</v>
      </c>
      <c r="K35" s="44" t="n">
        <v>45916</v>
      </c>
      <c r="L35" s="36" t="inlineStr">
        <is>
          <t>N</t>
        </is>
      </c>
      <c r="M35" s="36" t="inlineStr">
        <is>
          <t>yes</t>
        </is>
      </c>
      <c r="N35" s="36">
        <f>Executive_Summary!$C$5-J35</f>
        <v/>
      </c>
      <c r="O35" s="36">
        <f>Executive_Summary!$C$5-K35</f>
        <v/>
      </c>
      <c r="P35" s="36">
        <f>IF(OR(N35&gt;Executive_Summary!$C$6,O35&gt;Executive_Summary!$C$6),1,0)</f>
        <v/>
      </c>
      <c r="Q35" s="37">
        <f>SUMIFS(Src_LossRun!$J$2:$J$43,Src_LossRun!$B$2:$B$43,A35)</f>
        <v/>
      </c>
      <c r="R35" s="36">
        <f>IF(AND(I35="Y",M35&lt;&gt;"yes"),1,0)</f>
        <v/>
      </c>
    </row>
    <row r="36" ht="15" customHeight="1" s="23">
      <c r="A36" s="36" t="inlineStr">
        <is>
          <t>HAB-2047-C</t>
        </is>
      </c>
      <c r="B36" s="36" t="inlineStr">
        <is>
          <t>GR-2047</t>
        </is>
      </c>
      <c r="C36" s="36" t="inlineStr">
        <is>
          <t>Columbus</t>
        </is>
      </c>
      <c r="D36" s="36" t="inlineStr">
        <is>
          <t>OH</t>
        </is>
      </c>
      <c r="E36" s="39" t="n">
        <v>3311800</v>
      </c>
      <c r="F36" s="36" t="n">
        <v>45</v>
      </c>
      <c r="G36" s="36" t="n">
        <v>0</v>
      </c>
      <c r="H36" s="36" t="n">
        <v>5</v>
      </c>
      <c r="I36" s="36" t="inlineStr">
        <is>
          <t>N</t>
        </is>
      </c>
      <c r="J36" s="44" t="n">
        <v>45919</v>
      </c>
      <c r="K36" s="44" t="n">
        <v>45910</v>
      </c>
      <c r="L36" s="36" t="inlineStr">
        <is>
          <t>N</t>
        </is>
      </c>
      <c r="M36" s="36" t="inlineStr">
        <is>
          <t>yes</t>
        </is>
      </c>
      <c r="N36" s="36">
        <f>Executive_Summary!$C$5-J36</f>
        <v/>
      </c>
      <c r="O36" s="36">
        <f>Executive_Summary!$C$5-K36</f>
        <v/>
      </c>
      <c r="P36" s="36">
        <f>IF(OR(N36&gt;Executive_Summary!$C$6,O36&gt;Executive_Summary!$C$6),1,0)</f>
        <v/>
      </c>
      <c r="Q36" s="37">
        <f>SUMIFS(Src_LossRun!$J$2:$J$43,Src_LossRun!$B$2:$B$43,A36)</f>
        <v/>
      </c>
      <c r="R36" s="36">
        <f>IF(AND(I36="Y",M36&lt;&gt;"yes"),1,0)</f>
        <v/>
      </c>
    </row>
    <row r="37" ht="15" customHeight="1" s="23">
      <c r="A37" s="36" t="inlineStr">
        <is>
          <t>HAB-2050-A</t>
        </is>
      </c>
      <c r="B37" s="36" t="inlineStr">
        <is>
          <t>GR-2050</t>
        </is>
      </c>
      <c r="C37" s="36" t="inlineStr">
        <is>
          <t>Des Moines</t>
        </is>
      </c>
      <c r="D37" s="36" t="inlineStr">
        <is>
          <t>IA</t>
        </is>
      </c>
      <c r="E37" s="39" t="n">
        <v>7617648</v>
      </c>
      <c r="F37" s="36" t="n">
        <v>41</v>
      </c>
      <c r="G37" s="36" t="n">
        <v>0</v>
      </c>
      <c r="H37" s="36" t="n">
        <v>3</v>
      </c>
      <c r="I37" s="36" t="inlineStr">
        <is>
          <t>N</t>
        </is>
      </c>
      <c r="J37" s="44" t="n">
        <v>45919</v>
      </c>
      <c r="K37" s="44" t="n">
        <v>45903</v>
      </c>
      <c r="L37" s="36" t="inlineStr">
        <is>
          <t>N</t>
        </is>
      </c>
      <c r="M37" s="36" t="inlineStr">
        <is>
          <t>yes</t>
        </is>
      </c>
      <c r="N37" s="36">
        <f>Executive_Summary!$C$5-J37</f>
        <v/>
      </c>
      <c r="O37" s="36">
        <f>Executive_Summary!$C$5-K37</f>
        <v/>
      </c>
      <c r="P37" s="36">
        <f>IF(OR(N37&gt;Executive_Summary!$C$6,O37&gt;Executive_Summary!$C$6),1,0)</f>
        <v/>
      </c>
      <c r="Q37" s="37">
        <f>SUMIFS(Src_LossRun!$J$2:$J$43,Src_LossRun!$B$2:$B$43,A37)</f>
        <v/>
      </c>
      <c r="R37" s="36">
        <f>IF(AND(I37="Y",M37&lt;&gt;"yes"),1,0)</f>
        <v/>
      </c>
    </row>
    <row r="38" ht="15" customHeight="1" s="23">
      <c r="A38" s="36" t="inlineStr">
        <is>
          <t>HAB-2050-B</t>
        </is>
      </c>
      <c r="B38" s="36" t="inlineStr">
        <is>
          <t>GR-2050</t>
        </is>
      </c>
      <c r="C38" s="36" t="inlineStr">
        <is>
          <t>Des Moines</t>
        </is>
      </c>
      <c r="D38" s="36" t="inlineStr">
        <is>
          <t>IA</t>
        </is>
      </c>
      <c r="E38" s="39" t="n">
        <v>9212656</v>
      </c>
      <c r="F38" s="36" t="n">
        <v>42</v>
      </c>
      <c r="G38" s="36" t="n">
        <v>0</v>
      </c>
      <c r="H38" s="36" t="n">
        <v>4</v>
      </c>
      <c r="I38" s="36" t="inlineStr">
        <is>
          <t>N</t>
        </is>
      </c>
      <c r="J38" s="44" t="n">
        <v>45917</v>
      </c>
      <c r="K38" s="44" t="n">
        <v>45908</v>
      </c>
      <c r="L38" s="36" t="inlineStr">
        <is>
          <t>N</t>
        </is>
      </c>
      <c r="M38" s="36" t="inlineStr">
        <is>
          <t>yes</t>
        </is>
      </c>
      <c r="N38" s="36">
        <f>Executive_Summary!$C$5-J38</f>
        <v/>
      </c>
      <c r="O38" s="36">
        <f>Executive_Summary!$C$5-K38</f>
        <v/>
      </c>
      <c r="P38" s="36">
        <f>IF(OR(N38&gt;Executive_Summary!$C$6,O38&gt;Executive_Summary!$C$6),1,0)</f>
        <v/>
      </c>
      <c r="Q38" s="37">
        <f>SUMIFS(Src_LossRun!$J$2:$J$43,Src_LossRun!$B$2:$B$43,A38)</f>
        <v/>
      </c>
      <c r="R38" s="36">
        <f>IF(AND(I38="Y",M38&lt;&gt;"yes"),1,0)</f>
        <v/>
      </c>
    </row>
    <row r="39" ht="15" customHeight="1" s="23">
      <c r="A39" s="36" t="inlineStr">
        <is>
          <t>HAB-2053-A</t>
        </is>
      </c>
      <c r="B39" s="36" t="inlineStr">
        <is>
          <t>GR-2053</t>
        </is>
      </c>
      <c r="C39" s="36" t="inlineStr">
        <is>
          <t>Columbus</t>
        </is>
      </c>
      <c r="D39" s="36" t="inlineStr">
        <is>
          <t>OH</t>
        </is>
      </c>
      <c r="E39" s="39" t="n">
        <v>4412505</v>
      </c>
      <c r="F39" s="36" t="n">
        <v>52</v>
      </c>
      <c r="G39" s="36" t="n">
        <v>24</v>
      </c>
      <c r="H39" s="36" t="n">
        <v>3</v>
      </c>
      <c r="I39" s="36" t="inlineStr">
        <is>
          <t>N</t>
        </is>
      </c>
      <c r="J39" s="44" t="n">
        <v>45908</v>
      </c>
      <c r="K39" s="44" t="n">
        <v>45909</v>
      </c>
      <c r="L39" s="36" t="inlineStr">
        <is>
          <t>N</t>
        </is>
      </c>
      <c r="M39" s="36" t="inlineStr">
        <is>
          <t>yes</t>
        </is>
      </c>
      <c r="N39" s="36">
        <f>Executive_Summary!$C$5-J39</f>
        <v/>
      </c>
      <c r="O39" s="36">
        <f>Executive_Summary!$C$5-K39</f>
        <v/>
      </c>
      <c r="P39" s="36">
        <f>IF(OR(N39&gt;Executive_Summary!$C$6,O39&gt;Executive_Summary!$C$6),1,0)</f>
        <v/>
      </c>
      <c r="Q39" s="37">
        <f>SUMIFS(Src_LossRun!$J$2:$J$43,Src_LossRun!$B$2:$B$43,A39)</f>
        <v/>
      </c>
      <c r="R39" s="36">
        <f>IF(AND(I39="Y",M39&lt;&gt;"yes"),1,0)</f>
        <v/>
      </c>
    </row>
    <row r="40" ht="15" customHeight="1" s="23">
      <c r="A40" s="36" t="inlineStr">
        <is>
          <t>HAB-2053-B</t>
        </is>
      </c>
      <c r="B40" s="36" t="inlineStr">
        <is>
          <t>GR-2053</t>
        </is>
      </c>
      <c r="C40" s="36" t="inlineStr">
        <is>
          <t>Cleveland</t>
        </is>
      </c>
      <c r="D40" s="36" t="inlineStr">
        <is>
          <t>OH</t>
        </is>
      </c>
      <c r="E40" s="39" t="n">
        <v>4090705</v>
      </c>
      <c r="F40" s="36" t="n">
        <v>52</v>
      </c>
      <c r="G40" s="36" t="n">
        <v>0</v>
      </c>
      <c r="H40" s="36" t="n">
        <v>2</v>
      </c>
      <c r="I40" s="36" t="inlineStr">
        <is>
          <t>N</t>
        </is>
      </c>
      <c r="J40" s="44" t="n">
        <v>45919</v>
      </c>
      <c r="K40" s="44" t="n">
        <v>45912</v>
      </c>
      <c r="L40" s="36" t="inlineStr">
        <is>
          <t>N</t>
        </is>
      </c>
      <c r="M40" s="36" t="inlineStr">
        <is>
          <t>yes</t>
        </is>
      </c>
      <c r="N40" s="36">
        <f>Executive_Summary!$C$5-J40</f>
        <v/>
      </c>
      <c r="O40" s="36">
        <f>Executive_Summary!$C$5-K40</f>
        <v/>
      </c>
      <c r="P40" s="36">
        <f>IF(OR(N40&gt;Executive_Summary!$C$6,O40&gt;Executive_Summary!$C$6),1,0)</f>
        <v/>
      </c>
      <c r="Q40" s="37">
        <f>SUMIFS(Src_LossRun!$J$2:$J$43,Src_LossRun!$B$2:$B$43,A40)</f>
        <v/>
      </c>
      <c r="R40" s="36">
        <f>IF(AND(I40="Y",M40&lt;&gt;"yes"),1,0)</f>
        <v/>
      </c>
    </row>
    <row r="41" ht="15" customHeight="1" s="23">
      <c r="A41" s="36" t="inlineStr">
        <is>
          <t>HAB-2056-A</t>
        </is>
      </c>
      <c r="B41" s="36" t="inlineStr">
        <is>
          <t>GR-2056</t>
        </is>
      </c>
      <c r="C41" s="36" t="inlineStr">
        <is>
          <t>Columbus</t>
        </is>
      </c>
      <c r="D41" s="36" t="inlineStr">
        <is>
          <t>OH</t>
        </is>
      </c>
      <c r="E41" s="39" t="n">
        <v>5153504</v>
      </c>
      <c r="F41" s="36" t="n">
        <v>45</v>
      </c>
      <c r="G41" s="36" t="n">
        <v>0</v>
      </c>
      <c r="H41" s="36" t="n">
        <v>2</v>
      </c>
      <c r="I41" s="36" t="inlineStr">
        <is>
          <t>N</t>
        </is>
      </c>
      <c r="J41" s="44" t="n">
        <v>45903</v>
      </c>
      <c r="K41" s="44" t="n">
        <v>45916</v>
      </c>
      <c r="L41" s="36" t="inlineStr">
        <is>
          <t>N</t>
        </is>
      </c>
      <c r="M41" s="36" t="inlineStr">
        <is>
          <t>yes</t>
        </is>
      </c>
      <c r="N41" s="36">
        <f>Executive_Summary!$C$5-J41</f>
        <v/>
      </c>
      <c r="O41" s="36">
        <f>Executive_Summary!$C$5-K41</f>
        <v/>
      </c>
      <c r="P41" s="36">
        <f>IF(OR(N41&gt;Executive_Summary!$C$6,O41&gt;Executive_Summary!$C$6),1,0)</f>
        <v/>
      </c>
      <c r="Q41" s="37">
        <f>SUMIFS(Src_LossRun!$J$2:$J$43,Src_LossRun!$B$2:$B$43,A41)</f>
        <v/>
      </c>
      <c r="R41" s="36">
        <f>IF(AND(I41="Y",M41&lt;&gt;"yes"),1,0)</f>
        <v/>
      </c>
    </row>
    <row r="42" ht="15" customHeight="1" s="23">
      <c r="A42" s="36" t="inlineStr">
        <is>
          <t>HAB-2056-B</t>
        </is>
      </c>
      <c r="B42" s="36" t="inlineStr">
        <is>
          <t>GR-2056</t>
        </is>
      </c>
      <c r="C42" s="36" t="inlineStr">
        <is>
          <t>Columbus</t>
        </is>
      </c>
      <c r="D42" s="36" t="inlineStr">
        <is>
          <t>OH</t>
        </is>
      </c>
      <c r="E42" s="39" t="n">
        <v>5330686</v>
      </c>
      <c r="F42" s="36" t="n">
        <v>41</v>
      </c>
      <c r="G42" s="36" t="n">
        <v>0</v>
      </c>
      <c r="H42" s="36" t="n">
        <v>2</v>
      </c>
      <c r="I42" s="36" t="inlineStr">
        <is>
          <t>N</t>
        </is>
      </c>
      <c r="J42" s="44" t="n">
        <v>45915</v>
      </c>
      <c r="K42" s="44" t="n">
        <v>45907</v>
      </c>
      <c r="L42" s="36" t="inlineStr">
        <is>
          <t>N</t>
        </is>
      </c>
      <c r="M42" s="36" t="inlineStr">
        <is>
          <t>yes</t>
        </is>
      </c>
      <c r="N42" s="36">
        <f>Executive_Summary!$C$5-J42</f>
        <v/>
      </c>
      <c r="O42" s="36">
        <f>Executive_Summary!$C$5-K42</f>
        <v/>
      </c>
      <c r="P42" s="36">
        <f>IF(OR(N42&gt;Executive_Summary!$C$6,O42&gt;Executive_Summary!$C$6),1,0)</f>
        <v/>
      </c>
      <c r="Q42" s="37">
        <f>SUMIFS(Src_LossRun!$J$2:$J$43,Src_LossRun!$B$2:$B$43,A42)</f>
        <v/>
      </c>
      <c r="R42" s="36">
        <f>IF(AND(I42="Y",M42&lt;&gt;"yes"),1,0)</f>
        <v/>
      </c>
    </row>
    <row r="43" ht="15" customHeight="1" s="23">
      <c r="A43" s="36" t="inlineStr">
        <is>
          <t>HAB-2059-A</t>
        </is>
      </c>
      <c r="B43" s="36" t="inlineStr">
        <is>
          <t>GR-2059</t>
        </is>
      </c>
      <c r="C43" s="36" t="inlineStr">
        <is>
          <t>Columbus</t>
        </is>
      </c>
      <c r="D43" s="36" t="inlineStr">
        <is>
          <t>OH</t>
        </is>
      </c>
      <c r="E43" s="39" t="n">
        <v>8891542</v>
      </c>
      <c r="F43" s="36" t="n">
        <v>87</v>
      </c>
      <c r="G43" s="36" t="n">
        <v>0</v>
      </c>
      <c r="H43" s="36" t="n">
        <v>5</v>
      </c>
      <c r="I43" s="36" t="inlineStr">
        <is>
          <t>N</t>
        </is>
      </c>
      <c r="J43" s="44" t="n">
        <v>45903</v>
      </c>
      <c r="K43" s="44" t="n">
        <v>45919</v>
      </c>
      <c r="L43" s="36" t="inlineStr">
        <is>
          <t>N</t>
        </is>
      </c>
      <c r="M43" s="36" t="inlineStr">
        <is>
          <t>yes</t>
        </is>
      </c>
      <c r="N43" s="36">
        <f>Executive_Summary!$C$5-J43</f>
        <v/>
      </c>
      <c r="O43" s="36">
        <f>Executive_Summary!$C$5-K43</f>
        <v/>
      </c>
      <c r="P43" s="36">
        <f>IF(OR(N43&gt;Executive_Summary!$C$6,O43&gt;Executive_Summary!$C$6),1,0)</f>
        <v/>
      </c>
      <c r="Q43" s="37">
        <f>SUMIFS(Src_LossRun!$J$2:$J$43,Src_LossRun!$B$2:$B$43,A43)</f>
        <v/>
      </c>
      <c r="R43" s="36">
        <f>IF(AND(I43="Y",M43&lt;&gt;"yes"),1,0)</f>
        <v/>
      </c>
    </row>
    <row r="44" ht="15" customHeight="1" s="23">
      <c r="A44" s="36" t="inlineStr">
        <is>
          <t>HAB-2059-B</t>
        </is>
      </c>
      <c r="B44" s="36" t="inlineStr">
        <is>
          <t>GR-2059</t>
        </is>
      </c>
      <c r="C44" s="36" t="inlineStr">
        <is>
          <t>Cleveland</t>
        </is>
      </c>
      <c r="D44" s="36" t="inlineStr">
        <is>
          <t>OH</t>
        </is>
      </c>
      <c r="E44" s="39" t="n">
        <v>8097002</v>
      </c>
      <c r="F44" s="36" t="n">
        <v>79</v>
      </c>
      <c r="G44" s="36" t="n">
        <v>0</v>
      </c>
      <c r="H44" s="36" t="n">
        <v>4</v>
      </c>
      <c r="I44" s="36" t="inlineStr">
        <is>
          <t>N</t>
        </is>
      </c>
      <c r="J44" s="44" t="n">
        <v>45914</v>
      </c>
      <c r="K44" s="44" t="n">
        <v>45921</v>
      </c>
      <c r="L44" s="36" t="inlineStr">
        <is>
          <t>N</t>
        </is>
      </c>
      <c r="M44" s="36" t="inlineStr">
        <is>
          <t>yes</t>
        </is>
      </c>
      <c r="N44" s="36">
        <f>Executive_Summary!$C$5-J44</f>
        <v/>
      </c>
      <c r="O44" s="36">
        <f>Executive_Summary!$C$5-K44</f>
        <v/>
      </c>
      <c r="P44" s="36">
        <f>IF(OR(N44&gt;Executive_Summary!$C$6,O44&gt;Executive_Summary!$C$6),1,0)</f>
        <v/>
      </c>
      <c r="Q44" s="37">
        <f>SUMIFS(Src_LossRun!$J$2:$J$43,Src_LossRun!$B$2:$B$43,A44)</f>
        <v/>
      </c>
      <c r="R44" s="36">
        <f>IF(AND(I44="Y",M44&lt;&gt;"yes"),1,0)</f>
        <v/>
      </c>
    </row>
    <row r="45" ht="15" customHeight="1" s="23">
      <c r="A45" s="36" t="inlineStr">
        <is>
          <t>HAB-2062-A</t>
        </is>
      </c>
      <c r="B45" s="36" t="inlineStr">
        <is>
          <t>GR-2062</t>
        </is>
      </c>
      <c r="C45" s="36" t="inlineStr">
        <is>
          <t>Chicago</t>
        </is>
      </c>
      <c r="D45" s="36" t="inlineStr">
        <is>
          <t>IL</t>
        </is>
      </c>
      <c r="E45" s="39" t="n">
        <v>6088897</v>
      </c>
      <c r="F45" s="36" t="n">
        <v>74</v>
      </c>
      <c r="G45" s="36" t="n">
        <v>0</v>
      </c>
      <c r="H45" s="36" t="n">
        <v>2</v>
      </c>
      <c r="I45" s="36" t="inlineStr">
        <is>
          <t>N</t>
        </is>
      </c>
      <c r="J45" s="44" t="n">
        <v>45921</v>
      </c>
      <c r="K45" s="44" t="n">
        <v>45909</v>
      </c>
      <c r="L45" s="36" t="inlineStr">
        <is>
          <t>N</t>
        </is>
      </c>
      <c r="M45" s="36" t="inlineStr">
        <is>
          <t>yes</t>
        </is>
      </c>
      <c r="N45" s="36">
        <f>Executive_Summary!$C$5-J45</f>
        <v/>
      </c>
      <c r="O45" s="36">
        <f>Executive_Summary!$C$5-K45</f>
        <v/>
      </c>
      <c r="P45" s="36">
        <f>IF(OR(N45&gt;Executive_Summary!$C$6,O45&gt;Executive_Summary!$C$6),1,0)</f>
        <v/>
      </c>
      <c r="Q45" s="37">
        <f>SUMIFS(Src_LossRun!$J$2:$J$43,Src_LossRun!$B$2:$B$43,A45)</f>
        <v/>
      </c>
      <c r="R45" s="36">
        <f>IF(AND(I45="Y",M45&lt;&gt;"yes"),1,0)</f>
        <v/>
      </c>
    </row>
    <row r="46" ht="15" customHeight="1" s="23">
      <c r="A46" s="36" t="inlineStr">
        <is>
          <t>HAB-2062-B</t>
        </is>
      </c>
      <c r="B46" s="36" t="inlineStr">
        <is>
          <t>GR-2062</t>
        </is>
      </c>
      <c r="C46" s="36" t="inlineStr">
        <is>
          <t>Peoria</t>
        </is>
      </c>
      <c r="D46" s="36" t="inlineStr">
        <is>
          <t>IL</t>
        </is>
      </c>
      <c r="E46" s="39" t="n">
        <v>5090185</v>
      </c>
      <c r="F46" s="36" t="n">
        <v>75</v>
      </c>
      <c r="G46" s="36" t="n">
        <v>0</v>
      </c>
      <c r="H46" s="36" t="n">
        <v>5</v>
      </c>
      <c r="I46" s="36" t="inlineStr">
        <is>
          <t>N</t>
        </is>
      </c>
      <c r="J46" s="44" t="n">
        <v>45906</v>
      </c>
      <c r="K46" s="44" t="n">
        <v>45906</v>
      </c>
      <c r="L46" s="36" t="inlineStr">
        <is>
          <t>N</t>
        </is>
      </c>
      <c r="M46" s="36" t="inlineStr">
        <is>
          <t>yes</t>
        </is>
      </c>
      <c r="N46" s="36">
        <f>Executive_Summary!$C$5-J46</f>
        <v/>
      </c>
      <c r="O46" s="36">
        <f>Executive_Summary!$C$5-K46</f>
        <v/>
      </c>
      <c r="P46" s="36">
        <f>IF(OR(N46&gt;Executive_Summary!$C$6,O46&gt;Executive_Summary!$C$6),1,0)</f>
        <v/>
      </c>
      <c r="Q46" s="37">
        <f>SUMIFS(Src_LossRun!$J$2:$J$43,Src_LossRun!$B$2:$B$43,A46)</f>
        <v/>
      </c>
      <c r="R46" s="36">
        <f>IF(AND(I46="Y",M46&lt;&gt;"yes"),1,0)</f>
        <v/>
      </c>
    </row>
    <row r="47" ht="15" customHeight="1" s="23">
      <c r="A47" s="36" t="inlineStr">
        <is>
          <t>HAB-2065-A</t>
        </is>
      </c>
      <c r="B47" s="36" t="inlineStr">
        <is>
          <t>GR-2065</t>
        </is>
      </c>
      <c r="C47" s="36" t="inlineStr">
        <is>
          <t>Columbus</t>
        </is>
      </c>
      <c r="D47" s="36" t="inlineStr">
        <is>
          <t>OH</t>
        </is>
      </c>
      <c r="E47" s="39" t="n">
        <v>8598166</v>
      </c>
      <c r="F47" s="36" t="n">
        <v>68</v>
      </c>
      <c r="G47" s="36" t="n">
        <v>0</v>
      </c>
      <c r="H47" s="36" t="n">
        <v>3</v>
      </c>
      <c r="I47" s="36" t="inlineStr">
        <is>
          <t>N</t>
        </is>
      </c>
      <c r="J47" s="44" t="n">
        <v>45904</v>
      </c>
      <c r="K47" s="44" t="n">
        <v>45921</v>
      </c>
      <c r="L47" s="36" t="inlineStr">
        <is>
          <t>N</t>
        </is>
      </c>
      <c r="M47" s="36" t="inlineStr">
        <is>
          <t>yes</t>
        </is>
      </c>
      <c r="N47" s="36">
        <f>Executive_Summary!$C$5-J47</f>
        <v/>
      </c>
      <c r="O47" s="36">
        <f>Executive_Summary!$C$5-K47</f>
        <v/>
      </c>
      <c r="P47" s="36">
        <f>IF(OR(N47&gt;Executive_Summary!$C$6,O47&gt;Executive_Summary!$C$6),1,0)</f>
        <v/>
      </c>
      <c r="Q47" s="37">
        <f>SUMIFS(Src_LossRun!$J$2:$J$43,Src_LossRun!$B$2:$B$43,A47)</f>
        <v/>
      </c>
      <c r="R47" s="36">
        <f>IF(AND(I47="Y",M47&lt;&gt;"yes"),1,0)</f>
        <v/>
      </c>
    </row>
    <row r="48" ht="15" customHeight="1" s="23">
      <c r="A48" s="36" t="inlineStr">
        <is>
          <t>HAB-2065-B</t>
        </is>
      </c>
      <c r="B48" s="36" t="inlineStr">
        <is>
          <t>GR-2065</t>
        </is>
      </c>
      <c r="C48" s="36" t="inlineStr">
        <is>
          <t>Cleveland</t>
        </is>
      </c>
      <c r="D48" s="36" t="inlineStr">
        <is>
          <t>OH</t>
        </is>
      </c>
      <c r="E48" s="39" t="n">
        <v>9561894</v>
      </c>
      <c r="F48" s="36" t="n">
        <v>63</v>
      </c>
      <c r="G48" s="36" t="n">
        <v>0</v>
      </c>
      <c r="H48" s="36" t="n">
        <v>3</v>
      </c>
      <c r="I48" s="36" t="inlineStr">
        <is>
          <t>N</t>
        </is>
      </c>
      <c r="J48" s="44" t="n">
        <v>45912</v>
      </c>
      <c r="K48" s="44" t="n">
        <v>45920</v>
      </c>
      <c r="L48" s="36" t="inlineStr">
        <is>
          <t>N</t>
        </is>
      </c>
      <c r="M48" s="36" t="inlineStr">
        <is>
          <t>yes</t>
        </is>
      </c>
      <c r="N48" s="36">
        <f>Executive_Summary!$C$5-J48</f>
        <v/>
      </c>
      <c r="O48" s="36">
        <f>Executive_Summary!$C$5-K48</f>
        <v/>
      </c>
      <c r="P48" s="36">
        <f>IF(OR(N48&gt;Executive_Summary!$C$6,O48&gt;Executive_Summary!$C$6),1,0)</f>
        <v/>
      </c>
      <c r="Q48" s="37">
        <f>SUMIFS(Src_LossRun!$J$2:$J$43,Src_LossRun!$B$2:$B$43,A48)</f>
        <v/>
      </c>
      <c r="R48" s="36">
        <f>IF(AND(I48="Y",M48&lt;&gt;"yes"),1,0)</f>
        <v/>
      </c>
    </row>
    <row r="49" ht="15" customHeight="1" s="23">
      <c r="A49" s="36" t="inlineStr">
        <is>
          <t>HAB-2068-A</t>
        </is>
      </c>
      <c r="B49" s="36" t="inlineStr">
        <is>
          <t>GR-2068</t>
        </is>
      </c>
      <c r="C49" s="36" t="inlineStr">
        <is>
          <t>Chicago</t>
        </is>
      </c>
      <c r="D49" s="36" t="inlineStr">
        <is>
          <t>IL</t>
        </is>
      </c>
      <c r="E49" s="39" t="n">
        <v>8420942</v>
      </c>
      <c r="F49" s="36" t="n">
        <v>40</v>
      </c>
      <c r="G49" s="36" t="n">
        <v>0</v>
      </c>
      <c r="H49" s="36" t="n">
        <v>5</v>
      </c>
      <c r="I49" s="36" t="inlineStr">
        <is>
          <t>N</t>
        </is>
      </c>
      <c r="J49" s="44" t="n">
        <v>45914</v>
      </c>
      <c r="K49" s="44" t="n">
        <v>45905</v>
      </c>
      <c r="L49" s="36" t="inlineStr">
        <is>
          <t>N</t>
        </is>
      </c>
      <c r="M49" s="36" t="inlineStr">
        <is>
          <t>yes</t>
        </is>
      </c>
      <c r="N49" s="36">
        <f>Executive_Summary!$C$5-J49</f>
        <v/>
      </c>
      <c r="O49" s="36">
        <f>Executive_Summary!$C$5-K49</f>
        <v/>
      </c>
      <c r="P49" s="36">
        <f>IF(OR(N49&gt;Executive_Summary!$C$6,O49&gt;Executive_Summary!$C$6),1,0)</f>
        <v/>
      </c>
      <c r="Q49" s="37">
        <f>SUMIFS(Src_LossRun!$J$2:$J$43,Src_LossRun!$B$2:$B$43,A49)</f>
        <v/>
      </c>
      <c r="R49" s="36">
        <f>IF(AND(I49="Y",M49&lt;&gt;"yes"),1,0)</f>
        <v/>
      </c>
    </row>
    <row r="50" ht="15" customHeight="1" s="23">
      <c r="A50" s="36" t="inlineStr">
        <is>
          <t>HAB-2068-B</t>
        </is>
      </c>
      <c r="B50" s="36" t="inlineStr">
        <is>
          <t>GR-2068</t>
        </is>
      </c>
      <c r="C50" s="36" t="inlineStr">
        <is>
          <t>Peoria</t>
        </is>
      </c>
      <c r="D50" s="36" t="inlineStr">
        <is>
          <t>IL</t>
        </is>
      </c>
      <c r="E50" s="39" t="n">
        <v>8980813</v>
      </c>
      <c r="F50" s="36" t="n">
        <v>37</v>
      </c>
      <c r="G50" s="36" t="n">
        <v>18</v>
      </c>
      <c r="H50" s="36" t="n">
        <v>3</v>
      </c>
      <c r="I50" s="36" t="inlineStr">
        <is>
          <t>N</t>
        </is>
      </c>
      <c r="J50" s="44" t="n">
        <v>45914</v>
      </c>
      <c r="K50" s="44" t="n">
        <v>45909</v>
      </c>
      <c r="L50" s="36" t="inlineStr">
        <is>
          <t>N</t>
        </is>
      </c>
      <c r="M50" s="36" t="inlineStr">
        <is>
          <t>yes</t>
        </is>
      </c>
      <c r="N50" s="36">
        <f>Executive_Summary!$C$5-J50</f>
        <v/>
      </c>
      <c r="O50" s="36">
        <f>Executive_Summary!$C$5-K50</f>
        <v/>
      </c>
      <c r="P50" s="36">
        <f>IF(OR(N50&gt;Executive_Summary!$C$6,O50&gt;Executive_Summary!$C$6),1,0)</f>
        <v/>
      </c>
      <c r="Q50" s="37">
        <f>SUMIFS(Src_LossRun!$J$2:$J$43,Src_LossRun!$B$2:$B$43,A50)</f>
        <v/>
      </c>
      <c r="R50" s="36">
        <f>IF(AND(I50="Y",M50&lt;&gt;"yes"),1,0)</f>
        <v/>
      </c>
    </row>
    <row r="51" ht="15" customHeight="1" s="23">
      <c r="A51" s="36" t="inlineStr">
        <is>
          <t>HAB-2071-A</t>
        </is>
      </c>
      <c r="B51" s="36" t="inlineStr">
        <is>
          <t>GR-2071</t>
        </is>
      </c>
      <c r="C51" s="36" t="inlineStr">
        <is>
          <t>Kansas City</t>
        </is>
      </c>
      <c r="D51" s="36" t="inlineStr">
        <is>
          <t>MO</t>
        </is>
      </c>
      <c r="E51" s="39" t="n">
        <v>4333243</v>
      </c>
      <c r="F51" s="36" t="n">
        <v>51</v>
      </c>
      <c r="G51" s="36" t="n">
        <v>0</v>
      </c>
      <c r="H51" s="36" t="n">
        <v>4</v>
      </c>
      <c r="I51" s="36" t="inlineStr">
        <is>
          <t>N</t>
        </is>
      </c>
      <c r="J51" s="44" t="n">
        <v>45907</v>
      </c>
      <c r="K51" s="44" t="n">
        <v>45903</v>
      </c>
      <c r="L51" s="36" t="inlineStr">
        <is>
          <t>N</t>
        </is>
      </c>
      <c r="M51" s="36" t="inlineStr">
        <is>
          <t>yes</t>
        </is>
      </c>
      <c r="N51" s="36">
        <f>Executive_Summary!$C$5-J51</f>
        <v/>
      </c>
      <c r="O51" s="36">
        <f>Executive_Summary!$C$5-K51</f>
        <v/>
      </c>
      <c r="P51" s="36">
        <f>IF(OR(N51&gt;Executive_Summary!$C$6,O51&gt;Executive_Summary!$C$6),1,0)</f>
        <v/>
      </c>
      <c r="Q51" s="37">
        <f>SUMIFS(Src_LossRun!$J$2:$J$43,Src_LossRun!$B$2:$B$43,A51)</f>
        <v/>
      </c>
      <c r="R51" s="36">
        <f>IF(AND(I51="Y",M51&lt;&gt;"yes"),1,0)</f>
        <v/>
      </c>
    </row>
    <row r="52" ht="15" customHeight="1" s="23">
      <c r="A52" s="36" t="inlineStr">
        <is>
          <t>HAB-2071-B</t>
        </is>
      </c>
      <c r="B52" s="36" t="inlineStr">
        <is>
          <t>GR-2071</t>
        </is>
      </c>
      <c r="C52" s="36" t="inlineStr">
        <is>
          <t>Kansas City</t>
        </is>
      </c>
      <c r="D52" s="36" t="inlineStr">
        <is>
          <t>MO</t>
        </is>
      </c>
      <c r="E52" s="39" t="n">
        <v>4676602</v>
      </c>
      <c r="F52" s="36" t="n">
        <v>53</v>
      </c>
      <c r="G52" s="36" t="n">
        <v>0</v>
      </c>
      <c r="H52" s="36" t="n">
        <v>2</v>
      </c>
      <c r="I52" s="36" t="inlineStr">
        <is>
          <t>N</t>
        </is>
      </c>
      <c r="J52" s="44" t="n">
        <v>45911</v>
      </c>
      <c r="K52" s="44" t="n">
        <v>45920</v>
      </c>
      <c r="L52" s="36" t="inlineStr">
        <is>
          <t>N</t>
        </is>
      </c>
      <c r="M52" s="36" t="inlineStr">
        <is>
          <t>yes</t>
        </is>
      </c>
      <c r="N52" s="36">
        <f>Executive_Summary!$C$5-J52</f>
        <v/>
      </c>
      <c r="O52" s="36">
        <f>Executive_Summary!$C$5-K52</f>
        <v/>
      </c>
      <c r="P52" s="36">
        <f>IF(OR(N52&gt;Executive_Summary!$C$6,O52&gt;Executive_Summary!$C$6),1,0)</f>
        <v/>
      </c>
      <c r="Q52" s="37">
        <f>SUMIFS(Src_LossRun!$J$2:$J$43,Src_LossRun!$B$2:$B$43,A52)</f>
        <v/>
      </c>
      <c r="R52" s="36">
        <f>IF(AND(I52="Y",M52&lt;&gt;"yes"),1,0)</f>
        <v/>
      </c>
    </row>
    <row r="53" ht="15" customHeight="1" s="23">
      <c r="A53" s="36" t="inlineStr">
        <is>
          <t>HAB-2074-A</t>
        </is>
      </c>
      <c r="B53" s="36" t="inlineStr">
        <is>
          <t>GR-2074</t>
        </is>
      </c>
      <c r="C53" s="36" t="inlineStr">
        <is>
          <t>Cleveland</t>
        </is>
      </c>
      <c r="D53" s="36" t="inlineStr">
        <is>
          <t>OH</t>
        </is>
      </c>
      <c r="E53" s="39" t="n">
        <v>6470807</v>
      </c>
      <c r="F53" s="36" t="n">
        <v>29</v>
      </c>
      <c r="G53" s="36" t="n">
        <v>0</v>
      </c>
      <c r="H53" s="36" t="n">
        <v>5</v>
      </c>
      <c r="I53" s="36" t="inlineStr">
        <is>
          <t>N</t>
        </is>
      </c>
      <c r="J53" s="44" t="n">
        <v>45904</v>
      </c>
      <c r="K53" s="44" t="n">
        <v>45913</v>
      </c>
      <c r="L53" s="36" t="inlineStr">
        <is>
          <t>pending_fence_po</t>
        </is>
      </c>
      <c r="M53" s="36" t="inlineStr">
        <is>
          <t>yes</t>
        </is>
      </c>
      <c r="N53" s="36">
        <f>Executive_Summary!$C$5-J53</f>
        <v/>
      </c>
      <c r="O53" s="36">
        <f>Executive_Summary!$C$5-K53</f>
        <v/>
      </c>
      <c r="P53" s="36">
        <f>IF(OR(N53&gt;Executive_Summary!$C$6,O53&gt;Executive_Summary!$C$6),1,0)</f>
        <v/>
      </c>
      <c r="Q53" s="37">
        <f>SUMIFS(Src_LossRun!$J$2:$J$43,Src_LossRun!$B$2:$B$43,A53)</f>
        <v/>
      </c>
      <c r="R53" s="36">
        <f>IF(AND(I53="Y",M53&lt;&gt;"yes"),1,0)</f>
        <v/>
      </c>
    </row>
    <row r="54" ht="15" customHeight="1" s="23">
      <c r="A54" s="36" t="inlineStr">
        <is>
          <t>HAB-2074-B</t>
        </is>
      </c>
      <c r="B54" s="36" t="inlineStr">
        <is>
          <t>GR-2074</t>
        </is>
      </c>
      <c r="C54" s="36" t="inlineStr">
        <is>
          <t>Cleveland</t>
        </is>
      </c>
      <c r="D54" s="36" t="inlineStr">
        <is>
          <t>OH</t>
        </is>
      </c>
      <c r="E54" s="39" t="n">
        <v>7765700</v>
      </c>
      <c r="F54" s="36" t="n">
        <v>25</v>
      </c>
      <c r="G54" s="36" t="n">
        <v>0</v>
      </c>
      <c r="H54" s="36" t="n">
        <v>2</v>
      </c>
      <c r="I54" s="36" t="inlineStr">
        <is>
          <t>N</t>
        </is>
      </c>
      <c r="J54" s="44" t="n">
        <v>45908</v>
      </c>
      <c r="K54" s="44" t="n">
        <v>45914</v>
      </c>
      <c r="L54" s="36" t="inlineStr">
        <is>
          <t>N</t>
        </is>
      </c>
      <c r="M54" s="36" t="inlineStr">
        <is>
          <t>yes</t>
        </is>
      </c>
      <c r="N54" s="36">
        <f>Executive_Summary!$C$5-J54</f>
        <v/>
      </c>
      <c r="O54" s="36">
        <f>Executive_Summary!$C$5-K54</f>
        <v/>
      </c>
      <c r="P54" s="36">
        <f>IF(OR(N54&gt;Executive_Summary!$C$6,O54&gt;Executive_Summary!$C$6),1,0)</f>
        <v/>
      </c>
      <c r="Q54" s="37">
        <f>SUMIFS(Src_LossRun!$J$2:$J$43,Src_LossRun!$B$2:$B$43,A54)</f>
        <v/>
      </c>
      <c r="R54" s="36">
        <f>IF(AND(I54="Y",M54&lt;&gt;"yes"),1,0)</f>
        <v/>
      </c>
    </row>
    <row r="55" ht="15" customHeight="1" s="23">
      <c r="A55" s="36" t="inlineStr">
        <is>
          <t>HAB-2077-A</t>
        </is>
      </c>
      <c r="B55" s="36" t="inlineStr">
        <is>
          <t>GR-2077</t>
        </is>
      </c>
      <c r="C55" s="36" t="inlineStr">
        <is>
          <t>Des Moines</t>
        </is>
      </c>
      <c r="D55" s="36" t="inlineStr">
        <is>
          <t>IA</t>
        </is>
      </c>
      <c r="E55" s="39" t="n">
        <v>5306862</v>
      </c>
      <c r="F55" s="36" t="n">
        <v>76</v>
      </c>
      <c r="G55" s="36" t="n">
        <v>0</v>
      </c>
      <c r="H55" s="36" t="n">
        <v>5</v>
      </c>
      <c r="I55" s="36" t="inlineStr">
        <is>
          <t>N</t>
        </is>
      </c>
      <c r="J55" s="44" t="n">
        <v>45922</v>
      </c>
      <c r="K55" s="44" t="n">
        <v>45912</v>
      </c>
      <c r="L55" s="36" t="inlineStr">
        <is>
          <t>N</t>
        </is>
      </c>
      <c r="M55" s="36" t="inlineStr">
        <is>
          <t>yes</t>
        </is>
      </c>
      <c r="N55" s="36">
        <f>Executive_Summary!$C$5-J55</f>
        <v/>
      </c>
      <c r="O55" s="36">
        <f>Executive_Summary!$C$5-K55</f>
        <v/>
      </c>
      <c r="P55" s="36">
        <f>IF(OR(N55&gt;Executive_Summary!$C$6,O55&gt;Executive_Summary!$C$6),1,0)</f>
        <v/>
      </c>
      <c r="Q55" s="37">
        <f>SUMIFS(Src_LossRun!$J$2:$J$43,Src_LossRun!$B$2:$B$43,A55)</f>
        <v/>
      </c>
      <c r="R55" s="36">
        <f>IF(AND(I55="Y",M55&lt;&gt;"yes"),1,0)</f>
        <v/>
      </c>
    </row>
    <row r="56" ht="15" customHeight="1" s="23">
      <c r="A56" s="36" t="inlineStr">
        <is>
          <t>HAB-2077-B</t>
        </is>
      </c>
      <c r="B56" s="36" t="inlineStr">
        <is>
          <t>GR-2077</t>
        </is>
      </c>
      <c r="C56" s="36" t="inlineStr">
        <is>
          <t>Des Moines</t>
        </is>
      </c>
      <c r="D56" s="36" t="inlineStr">
        <is>
          <t>IA</t>
        </is>
      </c>
      <c r="E56" s="39" t="n">
        <v>6553418</v>
      </c>
      <c r="F56" s="36" t="n">
        <v>84</v>
      </c>
      <c r="G56" s="36" t="n">
        <v>0</v>
      </c>
      <c r="H56" s="36" t="n">
        <v>3</v>
      </c>
      <c r="I56" s="36" t="inlineStr">
        <is>
          <t>N</t>
        </is>
      </c>
      <c r="J56" s="44" t="n">
        <v>45920</v>
      </c>
      <c r="K56" s="44" t="n">
        <v>45913</v>
      </c>
      <c r="L56" s="36" t="inlineStr">
        <is>
          <t>N</t>
        </is>
      </c>
      <c r="M56" s="36" t="inlineStr">
        <is>
          <t>yes</t>
        </is>
      </c>
      <c r="N56" s="36">
        <f>Executive_Summary!$C$5-J56</f>
        <v/>
      </c>
      <c r="O56" s="36">
        <f>Executive_Summary!$C$5-K56</f>
        <v/>
      </c>
      <c r="P56" s="36">
        <f>IF(OR(N56&gt;Executive_Summary!$C$6,O56&gt;Executive_Summary!$C$6),1,0)</f>
        <v/>
      </c>
      <c r="Q56" s="37">
        <f>SUMIFS(Src_LossRun!$J$2:$J$43,Src_LossRun!$B$2:$B$43,A56)</f>
        <v/>
      </c>
      <c r="R56" s="36">
        <f>IF(AND(I56="Y",M56&lt;&gt;"yes"),1,0)</f>
        <v/>
      </c>
    </row>
    <row r="57" ht="15" customHeight="1" s="23">
      <c r="A57" s="36" t="inlineStr">
        <is>
          <t>HAB-2080-A</t>
        </is>
      </c>
      <c r="B57" s="36" t="inlineStr">
        <is>
          <t>GR-2080</t>
        </is>
      </c>
      <c r="C57" s="36" t="inlineStr">
        <is>
          <t>Peoria</t>
        </is>
      </c>
      <c r="D57" s="36" t="inlineStr">
        <is>
          <t>IL</t>
        </is>
      </c>
      <c r="E57" s="39" t="n">
        <v>6194797</v>
      </c>
      <c r="F57" s="36" t="n">
        <v>37</v>
      </c>
      <c r="G57" s="36" t="n">
        <v>0</v>
      </c>
      <c r="H57" s="36" t="n">
        <v>4</v>
      </c>
      <c r="I57" s="36" t="inlineStr">
        <is>
          <t>N</t>
        </is>
      </c>
      <c r="J57" s="44" t="n">
        <v>45911</v>
      </c>
      <c r="K57" s="44" t="n">
        <v>45918</v>
      </c>
      <c r="L57" s="36" t="inlineStr">
        <is>
          <t>N</t>
        </is>
      </c>
      <c r="M57" s="36" t="inlineStr">
        <is>
          <t>yes</t>
        </is>
      </c>
      <c r="N57" s="36">
        <f>Executive_Summary!$C$5-J57</f>
        <v/>
      </c>
      <c r="O57" s="36">
        <f>Executive_Summary!$C$5-K57</f>
        <v/>
      </c>
      <c r="P57" s="36">
        <f>IF(OR(N57&gt;Executive_Summary!$C$6,O57&gt;Executive_Summary!$C$6),1,0)</f>
        <v/>
      </c>
      <c r="Q57" s="37">
        <f>SUMIFS(Src_LossRun!$J$2:$J$43,Src_LossRun!$B$2:$B$43,A57)</f>
        <v/>
      </c>
      <c r="R57" s="36">
        <f>IF(AND(I57="Y",M57&lt;&gt;"yes"),1,0)</f>
        <v/>
      </c>
    </row>
    <row r="58" ht="15" customHeight="1" s="23">
      <c r="A58" s="36" t="inlineStr">
        <is>
          <t>HAB-2080-B</t>
        </is>
      </c>
      <c r="B58" s="36" t="inlineStr">
        <is>
          <t>GR-2080</t>
        </is>
      </c>
      <c r="C58" s="36" t="inlineStr">
        <is>
          <t>Peoria</t>
        </is>
      </c>
      <c r="D58" s="36" t="inlineStr">
        <is>
          <t>IL</t>
        </is>
      </c>
      <c r="E58" s="39" t="n">
        <v>6957880</v>
      </c>
      <c r="F58" s="36" t="n">
        <v>37</v>
      </c>
      <c r="G58" s="36" t="n">
        <v>0</v>
      </c>
      <c r="H58" s="36" t="n">
        <v>2</v>
      </c>
      <c r="I58" s="36" t="inlineStr">
        <is>
          <t>N</t>
        </is>
      </c>
      <c r="J58" s="44" t="n">
        <v>45907</v>
      </c>
      <c r="K58" s="44" t="n">
        <v>45908</v>
      </c>
      <c r="L58" s="36" t="inlineStr">
        <is>
          <t>N</t>
        </is>
      </c>
      <c r="M58" s="36" t="inlineStr">
        <is>
          <t>yes</t>
        </is>
      </c>
      <c r="N58" s="36">
        <f>Executive_Summary!$C$5-J58</f>
        <v/>
      </c>
      <c r="O58" s="36">
        <f>Executive_Summary!$C$5-K58</f>
        <v/>
      </c>
      <c r="P58" s="36">
        <f>IF(OR(N58&gt;Executive_Summary!$C$6,O58&gt;Executive_Summary!$C$6),1,0)</f>
        <v/>
      </c>
      <c r="Q58" s="37">
        <f>SUMIFS(Src_LossRun!$J$2:$J$43,Src_LossRun!$B$2:$B$43,A58)</f>
        <v/>
      </c>
      <c r="R58" s="36">
        <f>IF(AND(I58="Y",M58&lt;&gt;"yes"),1,0)</f>
        <v/>
      </c>
    </row>
    <row r="59" ht="15" customHeight="1" s="23">
      <c r="A59" s="36" t="inlineStr">
        <is>
          <t>HAB-2083-A</t>
        </is>
      </c>
      <c r="B59" s="36" t="inlineStr">
        <is>
          <t>GR-2083</t>
        </is>
      </c>
      <c r="C59" s="36" t="inlineStr">
        <is>
          <t>Grand Rapids</t>
        </is>
      </c>
      <c r="D59" s="36" t="inlineStr">
        <is>
          <t>MI</t>
        </is>
      </c>
      <c r="E59" s="39" t="n">
        <v>6177528</v>
      </c>
      <c r="F59" s="36" t="n">
        <v>88</v>
      </c>
      <c r="G59" s="36" t="n">
        <v>0</v>
      </c>
      <c r="H59" s="36" t="n">
        <v>5</v>
      </c>
      <c r="I59" s="36" t="inlineStr">
        <is>
          <t>N</t>
        </is>
      </c>
      <c r="J59" s="44" t="n">
        <v>45904</v>
      </c>
      <c r="K59" s="44" t="n">
        <v>45917</v>
      </c>
      <c r="L59" s="36" t="inlineStr">
        <is>
          <t>N</t>
        </is>
      </c>
      <c r="M59" s="36" t="inlineStr">
        <is>
          <t>yes</t>
        </is>
      </c>
      <c r="N59" s="36">
        <f>Executive_Summary!$C$5-J59</f>
        <v/>
      </c>
      <c r="O59" s="36">
        <f>Executive_Summary!$C$5-K59</f>
        <v/>
      </c>
      <c r="P59" s="36">
        <f>IF(OR(N59&gt;Executive_Summary!$C$6,O59&gt;Executive_Summary!$C$6),1,0)</f>
        <v/>
      </c>
      <c r="Q59" s="37">
        <f>SUMIFS(Src_LossRun!$J$2:$J$43,Src_LossRun!$B$2:$B$43,A59)</f>
        <v/>
      </c>
      <c r="R59" s="36">
        <f>IF(AND(I59="Y",M59&lt;&gt;"yes"),1,0)</f>
        <v/>
      </c>
    </row>
    <row r="60" ht="15" customHeight="1" s="23">
      <c r="A60" s="36" t="inlineStr">
        <is>
          <t>HAB-2083-B</t>
        </is>
      </c>
      <c r="B60" s="36" t="inlineStr">
        <is>
          <t>GR-2083</t>
        </is>
      </c>
      <c r="C60" s="36" t="inlineStr">
        <is>
          <t>Grand Rapids</t>
        </is>
      </c>
      <c r="D60" s="36" t="inlineStr">
        <is>
          <t>MI</t>
        </is>
      </c>
      <c r="E60" s="39" t="n">
        <v>6490257</v>
      </c>
      <c r="F60" s="36" t="n">
        <v>89</v>
      </c>
      <c r="G60" s="36" t="n">
        <v>0</v>
      </c>
      <c r="H60" s="36" t="n">
        <v>4</v>
      </c>
      <c r="I60" s="36" t="inlineStr">
        <is>
          <t>N</t>
        </is>
      </c>
      <c r="J60" s="44" t="n">
        <v>45918</v>
      </c>
      <c r="K60" s="44" t="n">
        <v>45923</v>
      </c>
      <c r="L60" s="36" t="inlineStr">
        <is>
          <t>N</t>
        </is>
      </c>
      <c r="M60" s="36" t="inlineStr">
        <is>
          <t>yes</t>
        </is>
      </c>
      <c r="N60" s="36">
        <f>Executive_Summary!$C$5-J60</f>
        <v/>
      </c>
      <c r="O60" s="36">
        <f>Executive_Summary!$C$5-K60</f>
        <v/>
      </c>
      <c r="P60" s="36">
        <f>IF(OR(N60&gt;Executive_Summary!$C$6,O60&gt;Executive_Summary!$C$6),1,0)</f>
        <v/>
      </c>
      <c r="Q60" s="37">
        <f>SUMIFS(Src_LossRun!$J$2:$J$43,Src_LossRun!$B$2:$B$43,A60)</f>
        <v/>
      </c>
      <c r="R60" s="36">
        <f>IF(AND(I60="Y",M60&lt;&gt;"yes"),1,0)</f>
        <v/>
      </c>
    </row>
    <row r="61" ht="15" customHeight="1" s="23">
      <c r="A61" s="36" t="inlineStr">
        <is>
          <t>HAB-2086-A</t>
        </is>
      </c>
      <c r="B61" s="36" t="inlineStr">
        <is>
          <t>GR-2086</t>
        </is>
      </c>
      <c r="C61" s="36" t="inlineStr">
        <is>
          <t>Minneapolis</t>
        </is>
      </c>
      <c r="D61" s="36" t="inlineStr">
        <is>
          <t>MN</t>
        </is>
      </c>
      <c r="E61" s="39" t="n">
        <v>6682769</v>
      </c>
      <c r="F61" s="36" t="n">
        <v>26</v>
      </c>
      <c r="G61" s="36" t="n">
        <v>0</v>
      </c>
      <c r="H61" s="36" t="n">
        <v>2</v>
      </c>
      <c r="I61" s="36" t="inlineStr">
        <is>
          <t>N</t>
        </is>
      </c>
      <c r="J61" s="44" t="n">
        <v>45918</v>
      </c>
      <c r="K61" s="44" t="n">
        <v>45911</v>
      </c>
      <c r="L61" s="36" t="inlineStr">
        <is>
          <t>N</t>
        </is>
      </c>
      <c r="M61" s="36" t="inlineStr">
        <is>
          <t>yes</t>
        </is>
      </c>
      <c r="N61" s="36">
        <f>Executive_Summary!$C$5-J61</f>
        <v/>
      </c>
      <c r="O61" s="36">
        <f>Executive_Summary!$C$5-K61</f>
        <v/>
      </c>
      <c r="P61" s="36">
        <f>IF(OR(N61&gt;Executive_Summary!$C$6,O61&gt;Executive_Summary!$C$6),1,0)</f>
        <v/>
      </c>
      <c r="Q61" s="37">
        <f>SUMIFS(Src_LossRun!$J$2:$J$43,Src_LossRun!$B$2:$B$43,A61)</f>
        <v/>
      </c>
      <c r="R61" s="36">
        <f>IF(AND(I61="Y",M61&lt;&gt;"yes"),1,0)</f>
        <v/>
      </c>
    </row>
    <row r="62" ht="15" customHeight="1" s="23">
      <c r="A62" s="36" t="inlineStr">
        <is>
          <t>HAB-2086-B</t>
        </is>
      </c>
      <c r="B62" s="36" t="inlineStr">
        <is>
          <t>GR-2086</t>
        </is>
      </c>
      <c r="C62" s="36" t="inlineStr">
        <is>
          <t>Minneapolis</t>
        </is>
      </c>
      <c r="D62" s="36" t="inlineStr">
        <is>
          <t>MN</t>
        </is>
      </c>
      <c r="E62" s="39" t="n">
        <v>5766951</v>
      </c>
      <c r="F62" s="36" t="n">
        <v>26</v>
      </c>
      <c r="G62" s="36" t="n">
        <v>0</v>
      </c>
      <c r="H62" s="36" t="n">
        <v>5</v>
      </c>
      <c r="I62" s="36" t="inlineStr">
        <is>
          <t>N</t>
        </is>
      </c>
      <c r="J62" s="44" t="n">
        <v>45914</v>
      </c>
      <c r="K62" s="44" t="n">
        <v>45916</v>
      </c>
      <c r="L62" s="36" t="inlineStr">
        <is>
          <t>N</t>
        </is>
      </c>
      <c r="M62" s="36" t="inlineStr">
        <is>
          <t>yes</t>
        </is>
      </c>
      <c r="N62" s="36">
        <f>Executive_Summary!$C$5-J62</f>
        <v/>
      </c>
      <c r="O62" s="36">
        <f>Executive_Summary!$C$5-K62</f>
        <v/>
      </c>
      <c r="P62" s="36">
        <f>IF(OR(N62&gt;Executive_Summary!$C$6,O62&gt;Executive_Summary!$C$6),1,0)</f>
        <v/>
      </c>
      <c r="Q62" s="37">
        <f>SUMIFS(Src_LossRun!$J$2:$J$43,Src_LossRun!$B$2:$B$43,A62)</f>
        <v/>
      </c>
      <c r="R62" s="36">
        <f>IF(AND(I62="Y",M62&lt;&gt;"yes"),1,0)</f>
        <v/>
      </c>
    </row>
    <row r="63" ht="15" customHeight="1" s="23">
      <c r="A63" s="36" t="inlineStr">
        <is>
          <t>HAB-2089-A</t>
        </is>
      </c>
      <c r="B63" s="36" t="inlineStr">
        <is>
          <t>GR-2089</t>
        </is>
      </c>
      <c r="C63" s="36" t="inlineStr">
        <is>
          <t>Minneapolis</t>
        </is>
      </c>
      <c r="D63" s="36" t="inlineStr">
        <is>
          <t>MN</t>
        </is>
      </c>
      <c r="E63" s="39" t="n">
        <v>4596104</v>
      </c>
      <c r="F63" s="36" t="n">
        <v>45</v>
      </c>
      <c r="G63" s="36" t="n">
        <v>0</v>
      </c>
      <c r="H63" s="36" t="n">
        <v>4</v>
      </c>
      <c r="I63" s="36" t="inlineStr">
        <is>
          <t>N</t>
        </is>
      </c>
      <c r="J63" s="44" t="n">
        <v>45749</v>
      </c>
      <c r="K63" s="44" t="n">
        <v>45749</v>
      </c>
      <c r="L63" s="36" t="inlineStr">
        <is>
          <t>N</t>
        </is>
      </c>
      <c r="M63" s="36" t="inlineStr">
        <is>
          <t>yes</t>
        </is>
      </c>
      <c r="N63" s="36">
        <f>Executive_Summary!$C$5-J63</f>
        <v/>
      </c>
      <c r="O63" s="36">
        <f>Executive_Summary!$C$5-K63</f>
        <v/>
      </c>
      <c r="P63" s="36">
        <f>IF(OR(N63&gt;Executive_Summary!$C$6,O63&gt;Executive_Summary!$C$6),1,0)</f>
        <v/>
      </c>
      <c r="Q63" s="37">
        <f>SUMIFS(Src_LossRun!$J$2:$J$43,Src_LossRun!$B$2:$B$43,A63)</f>
        <v/>
      </c>
      <c r="R63" s="36">
        <f>IF(AND(I63="Y",M63&lt;&gt;"yes"),1,0)</f>
        <v/>
      </c>
    </row>
    <row r="64" ht="15" customHeight="1" s="23">
      <c r="A64" s="36" t="inlineStr">
        <is>
          <t>HAB-2089-B</t>
        </is>
      </c>
      <c r="B64" s="36" t="inlineStr">
        <is>
          <t>GR-2089</t>
        </is>
      </c>
      <c r="C64" s="36" t="inlineStr">
        <is>
          <t>Minneapolis</t>
        </is>
      </c>
      <c r="D64" s="36" t="inlineStr">
        <is>
          <t>MN</t>
        </is>
      </c>
      <c r="E64" s="39" t="n">
        <v>4260398</v>
      </c>
      <c r="F64" s="36" t="n">
        <v>51</v>
      </c>
      <c r="G64" s="36" t="n">
        <v>0</v>
      </c>
      <c r="H64" s="36" t="n">
        <v>5</v>
      </c>
      <c r="I64" s="36" t="inlineStr">
        <is>
          <t>N</t>
        </is>
      </c>
      <c r="J64" s="44" t="n">
        <v>45912</v>
      </c>
      <c r="K64" s="44" t="n">
        <v>45909</v>
      </c>
      <c r="L64" s="36" t="inlineStr">
        <is>
          <t>N</t>
        </is>
      </c>
      <c r="M64" s="36" t="inlineStr">
        <is>
          <t>yes</t>
        </is>
      </c>
      <c r="N64" s="36">
        <f>Executive_Summary!$C$5-J64</f>
        <v/>
      </c>
      <c r="O64" s="36">
        <f>Executive_Summary!$C$5-K64</f>
        <v/>
      </c>
      <c r="P64" s="36">
        <f>IF(OR(N64&gt;Executive_Summary!$C$6,O64&gt;Executive_Summary!$C$6),1,0)</f>
        <v/>
      </c>
      <c r="Q64" s="37">
        <f>SUMIFS(Src_LossRun!$J$2:$J$43,Src_LossRun!$B$2:$B$43,A64)</f>
        <v/>
      </c>
      <c r="R64" s="36">
        <f>IF(AND(I64="Y",M64&lt;&gt;"yes"),1,0)</f>
        <v/>
      </c>
    </row>
    <row r="65" ht="15" customHeight="1" s="23">
      <c r="A65" s="36" t="inlineStr">
        <is>
          <t>HAB-2092-A</t>
        </is>
      </c>
      <c r="B65" s="36" t="inlineStr">
        <is>
          <t>GR-2092</t>
        </is>
      </c>
      <c r="C65" s="36" t="inlineStr">
        <is>
          <t>Cleveland</t>
        </is>
      </c>
      <c r="D65" s="36" t="inlineStr">
        <is>
          <t>OH</t>
        </is>
      </c>
      <c r="E65" s="39" t="n">
        <v>6626212</v>
      </c>
      <c r="F65" s="36" t="n">
        <v>39</v>
      </c>
      <c r="G65" s="36" t="n">
        <v>22</v>
      </c>
      <c r="H65" s="36" t="n">
        <v>3</v>
      </c>
      <c r="I65" s="36" t="inlineStr">
        <is>
          <t>N</t>
        </is>
      </c>
      <c r="J65" s="44" t="n">
        <v>45916</v>
      </c>
      <c r="K65" s="44" t="n">
        <v>45922</v>
      </c>
      <c r="L65" s="36" t="inlineStr">
        <is>
          <t>N</t>
        </is>
      </c>
      <c r="M65" s="36" t="inlineStr">
        <is>
          <t>yes</t>
        </is>
      </c>
      <c r="N65" s="36">
        <f>Executive_Summary!$C$5-J65</f>
        <v/>
      </c>
      <c r="O65" s="36">
        <f>Executive_Summary!$C$5-K65</f>
        <v/>
      </c>
      <c r="P65" s="36">
        <f>IF(OR(N65&gt;Executive_Summary!$C$6,O65&gt;Executive_Summary!$C$6),1,0)</f>
        <v/>
      </c>
      <c r="Q65" s="37">
        <f>SUMIFS(Src_LossRun!$J$2:$J$43,Src_LossRun!$B$2:$B$43,A65)</f>
        <v/>
      </c>
      <c r="R65" s="36">
        <f>IF(AND(I65="Y",M65&lt;&gt;"yes"),1,0)</f>
        <v/>
      </c>
    </row>
    <row r="66" ht="15" customHeight="1" s="23">
      <c r="A66" s="36" t="inlineStr">
        <is>
          <t>HAB-2092-B</t>
        </is>
      </c>
      <c r="B66" s="36" t="inlineStr">
        <is>
          <t>GR-2092</t>
        </is>
      </c>
      <c r="C66" s="36" t="inlineStr">
        <is>
          <t>Cleveland</t>
        </is>
      </c>
      <c r="D66" s="36" t="inlineStr">
        <is>
          <t>OH</t>
        </is>
      </c>
      <c r="E66" s="39" t="n">
        <v>7579077</v>
      </c>
      <c r="F66" s="36" t="n">
        <v>37</v>
      </c>
      <c r="G66" s="36" t="n">
        <v>0</v>
      </c>
      <c r="H66" s="36" t="n">
        <v>2</v>
      </c>
      <c r="I66" s="36" t="inlineStr">
        <is>
          <t>N</t>
        </is>
      </c>
      <c r="J66" s="44" t="n">
        <v>45903</v>
      </c>
      <c r="K66" s="44" t="n">
        <v>45920</v>
      </c>
      <c r="L66" s="36" t="inlineStr">
        <is>
          <t>N</t>
        </is>
      </c>
      <c r="M66" s="36" t="inlineStr">
        <is>
          <t>yes</t>
        </is>
      </c>
      <c r="N66" s="36">
        <f>Executive_Summary!$C$5-J66</f>
        <v/>
      </c>
      <c r="O66" s="36">
        <f>Executive_Summary!$C$5-K66</f>
        <v/>
      </c>
      <c r="P66" s="36">
        <f>IF(OR(N66&gt;Executive_Summary!$C$6,O66&gt;Executive_Summary!$C$6),1,0)</f>
        <v/>
      </c>
      <c r="Q66" s="37">
        <f>SUMIFS(Src_LossRun!$J$2:$J$43,Src_LossRun!$B$2:$B$43,A66)</f>
        <v/>
      </c>
      <c r="R66" s="36">
        <f>IF(AND(I66="Y",M66&lt;&gt;"yes"),1,0)</f>
        <v/>
      </c>
    </row>
    <row r="67" ht="15" customHeight="1" s="23">
      <c r="A67" s="36" t="inlineStr">
        <is>
          <t>HAB-2113-A</t>
        </is>
      </c>
      <c r="B67" s="36" t="inlineStr">
        <is>
          <t>GR-2113</t>
        </is>
      </c>
      <c r="C67" s="36" t="inlineStr">
        <is>
          <t>Chicago</t>
        </is>
      </c>
      <c r="D67" s="36" t="inlineStr">
        <is>
          <t>IL</t>
        </is>
      </c>
      <c r="E67" s="39" t="n">
        <v>4099296</v>
      </c>
      <c r="F67" s="36" t="n">
        <v>50</v>
      </c>
      <c r="G67" s="36" t="n">
        <v>0</v>
      </c>
      <c r="H67" s="36" t="n">
        <v>5</v>
      </c>
      <c r="I67" s="36" t="inlineStr">
        <is>
          <t>N</t>
        </is>
      </c>
      <c r="J67" s="44" t="n">
        <v>45908</v>
      </c>
      <c r="K67" s="44" t="n">
        <v>45919</v>
      </c>
      <c r="L67" s="36" t="inlineStr">
        <is>
          <t>N</t>
        </is>
      </c>
      <c r="M67" s="36" t="inlineStr">
        <is>
          <t>yes</t>
        </is>
      </c>
      <c r="N67" s="36">
        <f>Executive_Summary!$C$5-J67</f>
        <v/>
      </c>
      <c r="O67" s="36">
        <f>Executive_Summary!$C$5-K67</f>
        <v/>
      </c>
      <c r="P67" s="36">
        <f>IF(OR(N67&gt;Executive_Summary!$C$6,O67&gt;Executive_Summary!$C$6),1,0)</f>
        <v/>
      </c>
      <c r="Q67" s="37">
        <f>SUMIFS(Src_LossRun!$J$2:$J$43,Src_LossRun!$B$2:$B$43,A67)</f>
        <v/>
      </c>
      <c r="R67" s="36">
        <f>IF(AND(I67="Y",M67&lt;&gt;"yes"),1,0)</f>
        <v/>
      </c>
    </row>
    <row r="68" ht="15" customHeight="1" s="23">
      <c r="A68" s="36" t="inlineStr">
        <is>
          <t>HAB-2113-B</t>
        </is>
      </c>
      <c r="B68" s="36" t="inlineStr">
        <is>
          <t>GR-2113</t>
        </is>
      </c>
      <c r="C68" s="36" t="inlineStr">
        <is>
          <t>Peoria</t>
        </is>
      </c>
      <c r="D68" s="36" t="inlineStr">
        <is>
          <t>IL</t>
        </is>
      </c>
      <c r="E68" s="39" t="n">
        <v>4329591</v>
      </c>
      <c r="F68" s="36" t="n">
        <v>54</v>
      </c>
      <c r="G68" s="36" t="n">
        <v>0</v>
      </c>
      <c r="H68" s="36" t="n">
        <v>2</v>
      </c>
      <c r="I68" s="36" t="inlineStr">
        <is>
          <t>N</t>
        </is>
      </c>
      <c r="J68" s="44" t="n">
        <v>45923</v>
      </c>
      <c r="K68" s="44" t="n">
        <v>45912</v>
      </c>
      <c r="L68" s="36" t="inlineStr">
        <is>
          <t>N</t>
        </is>
      </c>
      <c r="M68" s="36" t="inlineStr">
        <is>
          <t>yes</t>
        </is>
      </c>
      <c r="N68" s="36">
        <f>Executive_Summary!$C$5-J68</f>
        <v/>
      </c>
      <c r="O68" s="36">
        <f>Executive_Summary!$C$5-K68</f>
        <v/>
      </c>
      <c r="P68" s="36">
        <f>IF(OR(N68&gt;Executive_Summary!$C$6,O68&gt;Executive_Summary!$C$6),1,0)</f>
        <v/>
      </c>
      <c r="Q68" s="37">
        <f>SUMIFS(Src_LossRun!$J$2:$J$43,Src_LossRun!$B$2:$B$43,A68)</f>
        <v/>
      </c>
      <c r="R68" s="36">
        <f>IF(AND(I68="Y",M68&lt;&gt;"yes"),1,0)</f>
        <v/>
      </c>
    </row>
    <row r="69" ht="15" customHeight="1" s="23">
      <c r="A69" s="36" t="inlineStr">
        <is>
          <t>HAB-2113-C</t>
        </is>
      </c>
      <c r="B69" s="36" t="inlineStr">
        <is>
          <t>GR-2113</t>
        </is>
      </c>
      <c r="C69" s="36" t="inlineStr">
        <is>
          <t>Chicago</t>
        </is>
      </c>
      <c r="D69" s="36" t="inlineStr">
        <is>
          <t>IL</t>
        </is>
      </c>
      <c r="E69" s="39" t="n">
        <v>4381993</v>
      </c>
      <c r="F69" s="36" t="n">
        <v>46</v>
      </c>
      <c r="G69" s="36" t="n">
        <v>0</v>
      </c>
      <c r="H69" s="36" t="n">
        <v>4</v>
      </c>
      <c r="I69" s="36" t="inlineStr">
        <is>
          <t>N</t>
        </is>
      </c>
      <c r="J69" s="44" t="n">
        <v>45910</v>
      </c>
      <c r="K69" s="44" t="n">
        <v>45910</v>
      </c>
      <c r="L69" s="36" t="inlineStr">
        <is>
          <t>N</t>
        </is>
      </c>
      <c r="M69" s="36" t="inlineStr">
        <is>
          <t>yes</t>
        </is>
      </c>
      <c r="N69" s="36">
        <f>Executive_Summary!$C$5-J69</f>
        <v/>
      </c>
      <c r="O69" s="36">
        <f>Executive_Summary!$C$5-K69</f>
        <v/>
      </c>
      <c r="P69" s="36">
        <f>IF(OR(N69&gt;Executive_Summary!$C$6,O69&gt;Executive_Summary!$C$6),1,0)</f>
        <v/>
      </c>
      <c r="Q69" s="37">
        <f>SUMIFS(Src_LossRun!$J$2:$J$43,Src_LossRun!$B$2:$B$43,A69)</f>
        <v/>
      </c>
      <c r="R69" s="36">
        <f>IF(AND(I69="Y",M69&lt;&gt;"yes"),1,0)</f>
        <v/>
      </c>
    </row>
    <row r="70" ht="15" customHeight="1" s="23">
      <c r="A70" s="36" t="inlineStr">
        <is>
          <t>HAB-2162-A</t>
        </is>
      </c>
      <c r="B70" s="36" t="inlineStr">
        <is>
          <t>GR-2162</t>
        </is>
      </c>
      <c r="C70" s="36" t="inlineStr">
        <is>
          <t>Columbus</t>
        </is>
      </c>
      <c r="D70" s="36" t="inlineStr">
        <is>
          <t>OH</t>
        </is>
      </c>
      <c r="E70" s="39" t="n">
        <v>14557868</v>
      </c>
      <c r="F70" s="36" t="n">
        <v>139</v>
      </c>
      <c r="G70" s="36" t="n">
        <v>0</v>
      </c>
      <c r="H70" s="36" t="n">
        <v>2</v>
      </c>
      <c r="I70" s="36" t="inlineStr">
        <is>
          <t>N</t>
        </is>
      </c>
      <c r="J70" s="44" t="n">
        <v>45923</v>
      </c>
      <c r="K70" s="44" t="n">
        <v>45904</v>
      </c>
      <c r="L70" s="36" t="inlineStr">
        <is>
          <t>N</t>
        </is>
      </c>
      <c r="M70" s="36" t="inlineStr">
        <is>
          <t>yes</t>
        </is>
      </c>
      <c r="N70" s="36">
        <f>Executive_Summary!$C$5-J70</f>
        <v/>
      </c>
      <c r="O70" s="36">
        <f>Executive_Summary!$C$5-K70</f>
        <v/>
      </c>
      <c r="P70" s="36">
        <f>IF(OR(N70&gt;Executive_Summary!$C$6,O70&gt;Executive_Summary!$C$6),1,0)</f>
        <v/>
      </c>
      <c r="Q70" s="37">
        <f>SUMIFS(Src_LossRun!$J$2:$J$43,Src_LossRun!$B$2:$B$43,A70)</f>
        <v/>
      </c>
      <c r="R70" s="36">
        <f>IF(AND(I70="Y",M70&lt;&gt;"yes"),1,0)</f>
        <v/>
      </c>
    </row>
    <row r="71" ht="15" customHeight="1" s="23">
      <c r="A71" s="36" t="inlineStr">
        <is>
          <t>HAB-2162-B</t>
        </is>
      </c>
      <c r="B71" s="36" t="inlineStr">
        <is>
          <t>GR-2162</t>
        </is>
      </c>
      <c r="C71" s="36" t="inlineStr">
        <is>
          <t>Columbus</t>
        </is>
      </c>
      <c r="D71" s="36" t="inlineStr">
        <is>
          <t>OH</t>
        </is>
      </c>
      <c r="E71" s="39" t="n">
        <v>16374110</v>
      </c>
      <c r="F71" s="36" t="n">
        <v>132</v>
      </c>
      <c r="G71" s="36" t="n">
        <v>0</v>
      </c>
      <c r="H71" s="36" t="n">
        <v>4</v>
      </c>
      <c r="I71" s="36" t="inlineStr">
        <is>
          <t>N</t>
        </is>
      </c>
      <c r="J71" s="44" t="n">
        <v>45909</v>
      </c>
      <c r="K71" s="44" t="n">
        <v>45909</v>
      </c>
      <c r="L71" s="36" t="inlineStr">
        <is>
          <t>N</t>
        </is>
      </c>
      <c r="M71" s="36" t="inlineStr">
        <is>
          <t>yes</t>
        </is>
      </c>
      <c r="N71" s="36">
        <f>Executive_Summary!$C$5-J71</f>
        <v/>
      </c>
      <c r="O71" s="36">
        <f>Executive_Summary!$C$5-K71</f>
        <v/>
      </c>
      <c r="P71" s="36">
        <f>IF(OR(N71&gt;Executive_Summary!$C$6,O71&gt;Executive_Summary!$C$6),1,0)</f>
        <v/>
      </c>
      <c r="Q71" s="37">
        <f>SUMIFS(Src_LossRun!$J$2:$J$43,Src_LossRun!$B$2:$B$43,A71)</f>
        <v/>
      </c>
      <c r="R71" s="36">
        <f>IF(AND(I71="Y",M71&lt;&gt;"yes"),1,0)</f>
        <v/>
      </c>
    </row>
    <row r="72" ht="15" customHeight="1" s="23">
      <c r="A72" s="36" t="inlineStr">
        <is>
          <t>HAB-2162-C</t>
        </is>
      </c>
      <c r="B72" s="36" t="inlineStr">
        <is>
          <t>GR-2162</t>
        </is>
      </c>
      <c r="C72" s="36" t="inlineStr">
        <is>
          <t>Columbus</t>
        </is>
      </c>
      <c r="D72" s="36" t="inlineStr">
        <is>
          <t>OH</t>
        </is>
      </c>
      <c r="E72" s="39" t="n">
        <v>18026872</v>
      </c>
      <c r="F72" s="36" t="n">
        <v>141</v>
      </c>
      <c r="G72" s="36" t="n">
        <v>0</v>
      </c>
      <c r="H72" s="36" t="n">
        <v>3</v>
      </c>
      <c r="I72" s="36" t="inlineStr">
        <is>
          <t>N</t>
        </is>
      </c>
      <c r="J72" s="44" t="n">
        <v>45906</v>
      </c>
      <c r="K72" s="44" t="n">
        <v>45914</v>
      </c>
      <c r="L72" s="36" t="inlineStr">
        <is>
          <t>N</t>
        </is>
      </c>
      <c r="M72" s="36" t="inlineStr">
        <is>
          <t>yes</t>
        </is>
      </c>
      <c r="N72" s="36">
        <f>Executive_Summary!$C$5-J72</f>
        <v/>
      </c>
      <c r="O72" s="36">
        <f>Executive_Summary!$C$5-K72</f>
        <v/>
      </c>
      <c r="P72" s="36">
        <f>IF(OR(N72&gt;Executive_Summary!$C$6,O72&gt;Executive_Summary!$C$6),1,0)</f>
        <v/>
      </c>
      <c r="Q72" s="37">
        <f>SUMIFS(Src_LossRun!$J$2:$J$43,Src_LossRun!$B$2:$B$43,A72)</f>
        <v/>
      </c>
      <c r="R72" s="36">
        <f>IF(AND(I72="Y",M72&lt;&gt;"yes"),1,0)</f>
        <v/>
      </c>
    </row>
    <row r="73" ht="15" customHeight="1" s="23">
      <c r="A73" s="36" t="inlineStr">
        <is>
          <t>HAB-2195-A</t>
        </is>
      </c>
      <c r="B73" s="36" t="inlineStr">
        <is>
          <t>GR-2195</t>
        </is>
      </c>
      <c r="C73" s="36" t="inlineStr">
        <is>
          <t>Minneapolis</t>
        </is>
      </c>
      <c r="D73" s="36" t="inlineStr">
        <is>
          <t>MN</t>
        </is>
      </c>
      <c r="E73" s="39" t="n">
        <v>3514284</v>
      </c>
      <c r="F73" s="36" t="n">
        <v>45</v>
      </c>
      <c r="G73" s="36" t="n">
        <v>0</v>
      </c>
      <c r="H73" s="36" t="n">
        <v>2</v>
      </c>
      <c r="I73" s="36" t="inlineStr">
        <is>
          <t>N</t>
        </is>
      </c>
      <c r="J73" s="44" t="n">
        <v>45910</v>
      </c>
      <c r="K73" s="44" t="n">
        <v>45911</v>
      </c>
      <c r="L73" s="36" t="inlineStr">
        <is>
          <t>N</t>
        </is>
      </c>
      <c r="M73" s="36" t="inlineStr">
        <is>
          <t>yes</t>
        </is>
      </c>
      <c r="N73" s="36">
        <f>Executive_Summary!$C$5-J73</f>
        <v/>
      </c>
      <c r="O73" s="36">
        <f>Executive_Summary!$C$5-K73</f>
        <v/>
      </c>
      <c r="P73" s="36">
        <f>IF(OR(N73&gt;Executive_Summary!$C$6,O73&gt;Executive_Summary!$C$6),1,0)</f>
        <v/>
      </c>
      <c r="Q73" s="37">
        <f>SUMIFS(Src_LossRun!$J$2:$J$43,Src_LossRun!$B$2:$B$43,A73)</f>
        <v/>
      </c>
      <c r="R73" s="36">
        <f>IF(AND(I73="Y",M73&lt;&gt;"yes"),1,0)</f>
        <v/>
      </c>
    </row>
    <row r="74" ht="15" customHeight="1" s="23">
      <c r="A74" s="36" t="inlineStr">
        <is>
          <t>HAB-2195-B</t>
        </is>
      </c>
      <c r="B74" s="36" t="inlineStr">
        <is>
          <t>GR-2195</t>
        </is>
      </c>
      <c r="C74" s="36" t="inlineStr">
        <is>
          <t>Minneapolis</t>
        </is>
      </c>
      <c r="D74" s="36" t="inlineStr">
        <is>
          <t>MN</t>
        </is>
      </c>
      <c r="E74" s="39" t="n">
        <v>3828170</v>
      </c>
      <c r="F74" s="36" t="n">
        <v>43</v>
      </c>
      <c r="G74" s="36" t="n">
        <v>0</v>
      </c>
      <c r="H74" s="36" t="n">
        <v>2</v>
      </c>
      <c r="I74" s="36" t="inlineStr">
        <is>
          <t>N</t>
        </is>
      </c>
      <c r="J74" s="44" t="n">
        <v>45909</v>
      </c>
      <c r="K74" s="44" t="n">
        <v>45922</v>
      </c>
      <c r="L74" s="36" t="inlineStr">
        <is>
          <t>N</t>
        </is>
      </c>
      <c r="M74" s="36" t="inlineStr">
        <is>
          <t>yes</t>
        </is>
      </c>
      <c r="N74" s="36">
        <f>Executive_Summary!$C$5-J74</f>
        <v/>
      </c>
      <c r="O74" s="36">
        <f>Executive_Summary!$C$5-K74</f>
        <v/>
      </c>
      <c r="P74" s="36">
        <f>IF(OR(N74&gt;Executive_Summary!$C$6,O74&gt;Executive_Summary!$C$6),1,0)</f>
        <v/>
      </c>
      <c r="Q74" s="37">
        <f>SUMIFS(Src_LossRun!$J$2:$J$43,Src_LossRun!$B$2:$B$43,A74)</f>
        <v/>
      </c>
      <c r="R74" s="36">
        <f>IF(AND(I74="Y",M74&lt;&gt;"yes"),1,0)</f>
        <v/>
      </c>
    </row>
    <row r="75" ht="15" customHeight="1" s="23">
      <c r="A75" s="36" t="inlineStr">
        <is>
          <t>HAB-2200-A</t>
        </is>
      </c>
      <c r="B75" s="36" t="inlineStr">
        <is>
          <t>GR-2200</t>
        </is>
      </c>
      <c r="C75" s="36" t="inlineStr">
        <is>
          <t>Indianapolis</t>
        </is>
      </c>
      <c r="D75" s="36" t="inlineStr">
        <is>
          <t>IN</t>
        </is>
      </c>
      <c r="E75" s="39" t="n">
        <v>5908135</v>
      </c>
      <c r="F75" s="36" t="n">
        <v>82</v>
      </c>
      <c r="G75" s="36" t="n">
        <v>0</v>
      </c>
      <c r="H75" s="36" t="n">
        <v>3</v>
      </c>
      <c r="I75" s="36" t="inlineStr">
        <is>
          <t>N</t>
        </is>
      </c>
      <c r="J75" s="44" t="n">
        <v>45922</v>
      </c>
      <c r="K75" s="44" t="n">
        <v>45913</v>
      </c>
      <c r="L75" s="36" t="inlineStr">
        <is>
          <t>N</t>
        </is>
      </c>
      <c r="M75" s="36" t="inlineStr">
        <is>
          <t>yes</t>
        </is>
      </c>
      <c r="N75" s="36">
        <f>Executive_Summary!$C$5-J75</f>
        <v/>
      </c>
      <c r="O75" s="36">
        <f>Executive_Summary!$C$5-K75</f>
        <v/>
      </c>
      <c r="P75" s="36">
        <f>IF(OR(N75&gt;Executive_Summary!$C$6,O75&gt;Executive_Summary!$C$6),1,0)</f>
        <v/>
      </c>
      <c r="Q75" s="37">
        <f>SUMIFS(Src_LossRun!$J$2:$J$43,Src_LossRun!$B$2:$B$43,A75)</f>
        <v/>
      </c>
      <c r="R75" s="36">
        <f>IF(AND(I75="Y",M75&lt;&gt;"yes"),1,0)</f>
        <v/>
      </c>
    </row>
    <row r="76" ht="15" customHeight="1" s="23">
      <c r="A76" s="36" t="inlineStr">
        <is>
          <t>HAB-2200-B</t>
        </is>
      </c>
      <c r="B76" s="36" t="inlineStr">
        <is>
          <t>GR-2200</t>
        </is>
      </c>
      <c r="C76" s="36" t="inlineStr">
        <is>
          <t>Indianapolis</t>
        </is>
      </c>
      <c r="D76" s="36" t="inlineStr">
        <is>
          <t>IN</t>
        </is>
      </c>
      <c r="E76" s="39" t="n">
        <v>5924378</v>
      </c>
      <c r="F76" s="36" t="n">
        <v>71</v>
      </c>
      <c r="G76" s="36" t="n">
        <v>0</v>
      </c>
      <c r="H76" s="36" t="n">
        <v>2</v>
      </c>
      <c r="I76" s="36" t="inlineStr">
        <is>
          <t>N</t>
        </is>
      </c>
      <c r="J76" s="44" t="n">
        <v>45915</v>
      </c>
      <c r="K76" s="44" t="n">
        <v>45905</v>
      </c>
      <c r="L76" s="36" t="inlineStr">
        <is>
          <t>N</t>
        </is>
      </c>
      <c r="M76" s="36" t="inlineStr">
        <is>
          <t>yes</t>
        </is>
      </c>
      <c r="N76" s="36">
        <f>Executive_Summary!$C$5-J76</f>
        <v/>
      </c>
      <c r="O76" s="36">
        <f>Executive_Summary!$C$5-K76</f>
        <v/>
      </c>
      <c r="P76" s="36">
        <f>IF(OR(N76&gt;Executive_Summary!$C$6,O76&gt;Executive_Summary!$C$6),1,0)</f>
        <v/>
      </c>
      <c r="Q76" s="37">
        <f>SUMIFS(Src_LossRun!$J$2:$J$43,Src_LossRun!$B$2:$B$43,A76)</f>
        <v/>
      </c>
      <c r="R76" s="36">
        <f>IF(AND(I76="Y",M76&lt;&gt;"yes"),1,0)</f>
        <v/>
      </c>
    </row>
  </sheetData>
  <autoFilter ref="A1:R76"/>
  <conditionalFormatting sqref="P2:P76">
    <cfRule type="cellIs" rank="0" priority="2" equalAverage="0" operator="equal" aboveAverage="0" dxfId="13" text="" percent="0" bottom="0">
      <formula>1</formula>
    </cfRule>
  </conditionalFormatting>
  <conditionalFormatting sqref="G2:G76">
    <cfRule type="cellIs" rank="0" priority="3" equalAverage="0" operator="greaterThan" aboveAverage="0" dxfId="1" text="" percent="0" bottom="0">
      <formula>0</formula>
    </cfRule>
  </conditionalFormatting>
  <conditionalFormatting sqref="I2:I76">
    <cfRule type="cellIs" rank="0" priority="4" equalAverage="0" operator="equal" aboveAverage="0" dxfId="1" text="" percent="0" bottom="0">
      <formula>"Y"</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J4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22" min="1" max="1"/>
    <col width="13" customWidth="1" style="22" min="2" max="2"/>
    <col width="11" customWidth="1" style="22" min="3" max="3"/>
    <col width="12" customWidth="1" style="22" min="4" max="4"/>
    <col width="11" customWidth="1" style="22" min="5" max="5"/>
    <col width="14" customWidth="1" style="22" min="6" max="7"/>
    <col width="12" customWidth="1" style="22" min="8" max="8"/>
    <col width="14" customWidth="1" style="22" min="9" max="9"/>
    <col width="18" customWidth="1" style="22" min="10" max="10"/>
  </cols>
  <sheetData>
    <row r="1" ht="43.5" customHeight="1" s="23">
      <c r="A1" s="31" t="inlineStr">
        <is>
          <t>loss_id</t>
        </is>
      </c>
      <c r="B1" s="31" t="inlineStr">
        <is>
          <t>location_id</t>
        </is>
      </c>
      <c r="C1" s="31" t="inlineStr">
        <is>
          <t>account_id</t>
        </is>
      </c>
      <c r="D1" s="31" t="inlineStr">
        <is>
          <t>loss_date</t>
        </is>
      </c>
      <c r="E1" s="31" t="inlineStr">
        <is>
          <t>peril</t>
        </is>
      </c>
      <c r="F1" s="31" t="inlineStr">
        <is>
          <t>paid_amount</t>
        </is>
      </c>
      <c r="G1" s="31" t="inlineStr">
        <is>
          <t>reserved_amount</t>
        </is>
      </c>
      <c r="H1" s="31" t="inlineStr">
        <is>
          <t>cat_code</t>
        </is>
      </c>
      <c r="I1" s="31" t="inlineStr">
        <is>
          <t>total_incurred</t>
        </is>
      </c>
      <c r="J1" s="31" t="inlineStr">
        <is>
          <t>attritional_incurred (cat_code blank only)</t>
        </is>
      </c>
    </row>
    <row r="2" ht="15" customHeight="1" s="23">
      <c r="A2" s="36" t="inlineStr">
        <is>
          <t>LR-0001</t>
        </is>
      </c>
      <c r="B2" s="36" t="inlineStr">
        <is>
          <t>HAB-2001-A</t>
        </is>
      </c>
      <c r="C2" s="36" t="inlineStr">
        <is>
          <t>GR-2001</t>
        </is>
      </c>
      <c r="D2" s="44" t="n">
        <v>45888</v>
      </c>
      <c r="E2" s="36" t="inlineStr">
        <is>
          <t>Water</t>
        </is>
      </c>
      <c r="F2" s="37" t="n">
        <v>6258.27</v>
      </c>
      <c r="G2" s="37" t="n">
        <v>0</v>
      </c>
      <c r="H2" s="36" t="n"/>
      <c r="I2" s="37">
        <f>F2+G2</f>
        <v/>
      </c>
      <c r="J2" s="37">
        <f>IF(H2="",I2,0)</f>
        <v/>
      </c>
    </row>
    <row r="3" ht="15" customHeight="1" s="23">
      <c r="A3" s="36" t="inlineStr">
        <is>
          <t>LR-0002</t>
        </is>
      </c>
      <c r="B3" s="36" t="inlineStr">
        <is>
          <t>HAB-2004-A</t>
        </is>
      </c>
      <c r="C3" s="36" t="inlineStr">
        <is>
          <t>GR-2004</t>
        </is>
      </c>
      <c r="D3" s="44" t="n">
        <v>45638</v>
      </c>
      <c r="E3" s="36" t="inlineStr">
        <is>
          <t>Theft</t>
        </is>
      </c>
      <c r="F3" s="37" t="n">
        <v>19135.01</v>
      </c>
      <c r="G3" s="37" t="n">
        <v>797.29</v>
      </c>
      <c r="H3" s="36" t="n"/>
      <c r="I3" s="37">
        <f>F3+G3</f>
        <v/>
      </c>
      <c r="J3" s="37">
        <f>IF(H3="",I3,0)</f>
        <v/>
      </c>
    </row>
    <row r="4" ht="15" customHeight="1" s="23">
      <c r="A4" s="36" t="inlineStr">
        <is>
          <t>LR-0003</t>
        </is>
      </c>
      <c r="B4" s="36" t="inlineStr">
        <is>
          <t>HAB-2007-A</t>
        </is>
      </c>
      <c r="C4" s="36" t="inlineStr">
        <is>
          <t>GR-2007</t>
        </is>
      </c>
      <c r="D4" s="44" t="n">
        <v>45718</v>
      </c>
      <c r="E4" s="36" t="inlineStr">
        <is>
          <t>Slip-Fall</t>
        </is>
      </c>
      <c r="F4" s="37" t="n">
        <v>8252.049999999999</v>
      </c>
      <c r="G4" s="37" t="n">
        <v>1019.92</v>
      </c>
      <c r="H4" s="36" t="n"/>
      <c r="I4" s="37">
        <f>F4+G4</f>
        <v/>
      </c>
      <c r="J4" s="37">
        <f>IF(H4="",I4,0)</f>
        <v/>
      </c>
    </row>
    <row r="5" ht="15" customHeight="1" s="23">
      <c r="A5" s="36" t="inlineStr">
        <is>
          <t>LR-0004</t>
        </is>
      </c>
      <c r="B5" s="36" t="inlineStr">
        <is>
          <t>HAB-2010-A</t>
        </is>
      </c>
      <c r="C5" s="36" t="inlineStr">
        <is>
          <t>GR-2010</t>
        </is>
      </c>
      <c r="D5" s="44" t="n">
        <v>45758</v>
      </c>
      <c r="E5" s="36" t="inlineStr">
        <is>
          <t>Slip-Fall</t>
        </is>
      </c>
      <c r="F5" s="37" t="n">
        <v>4321.54</v>
      </c>
      <c r="G5" s="37" t="n">
        <v>948.63</v>
      </c>
      <c r="H5" s="36" t="n"/>
      <c r="I5" s="37">
        <f>F5+G5</f>
        <v/>
      </c>
      <c r="J5" s="37">
        <f>IF(H5="",I5,0)</f>
        <v/>
      </c>
    </row>
    <row r="6" ht="15" customHeight="1" s="23">
      <c r="A6" s="36" t="inlineStr">
        <is>
          <t>LR-0005</t>
        </is>
      </c>
      <c r="B6" s="36" t="inlineStr">
        <is>
          <t>HAB-2013-A</t>
        </is>
      </c>
      <c r="C6" s="36" t="inlineStr">
        <is>
          <t>GR-2013</t>
        </is>
      </c>
      <c r="D6" s="44" t="n">
        <v>45611</v>
      </c>
      <c r="E6" s="36" t="inlineStr">
        <is>
          <t>Water</t>
        </is>
      </c>
      <c r="F6" s="37" t="n">
        <v>7327.91</v>
      </c>
      <c r="G6" s="37" t="n">
        <v>5092.28</v>
      </c>
      <c r="H6" s="36" t="n"/>
      <c r="I6" s="37">
        <f>F6+G6</f>
        <v/>
      </c>
      <c r="J6" s="37">
        <f>IF(H6="",I6,0)</f>
        <v/>
      </c>
    </row>
    <row r="7" ht="15" customHeight="1" s="23">
      <c r="A7" s="36" t="inlineStr">
        <is>
          <t>LR-0006</t>
        </is>
      </c>
      <c r="B7" s="36" t="inlineStr">
        <is>
          <t>HAB-2016-A</t>
        </is>
      </c>
      <c r="C7" s="36" t="inlineStr">
        <is>
          <t>GR-2016</t>
        </is>
      </c>
      <c r="D7" s="44" t="n">
        <v>45368</v>
      </c>
      <c r="E7" s="36" t="inlineStr">
        <is>
          <t>Theft</t>
        </is>
      </c>
      <c r="F7" s="37" t="n">
        <v>5117.35</v>
      </c>
      <c r="G7" s="37" t="n">
        <v>7066.81</v>
      </c>
      <c r="H7" s="36" t="n"/>
      <c r="I7" s="37">
        <f>F7+G7</f>
        <v/>
      </c>
      <c r="J7" s="37">
        <f>IF(H7="",I7,0)</f>
        <v/>
      </c>
    </row>
    <row r="8" ht="15" customHeight="1" s="23">
      <c r="A8" s="36" t="inlineStr">
        <is>
          <t>LR-0007</t>
        </is>
      </c>
      <c r="B8" s="36" t="inlineStr">
        <is>
          <t>HAB-2018-A</t>
        </is>
      </c>
      <c r="C8" s="36" t="inlineStr">
        <is>
          <t>GR-2018</t>
        </is>
      </c>
      <c r="D8" s="44" t="n">
        <v>45421</v>
      </c>
      <c r="E8" s="36" t="inlineStr">
        <is>
          <t>Slip-Fall</t>
        </is>
      </c>
      <c r="F8" s="37" t="n">
        <v>4860</v>
      </c>
      <c r="G8" s="37" t="n">
        <v>540</v>
      </c>
      <c r="H8" s="36" t="n"/>
      <c r="I8" s="37">
        <f>F8+G8</f>
        <v/>
      </c>
      <c r="J8" s="37">
        <f>IF(H8="",I8,0)</f>
        <v/>
      </c>
    </row>
    <row r="9" ht="15" customHeight="1" s="23">
      <c r="A9" s="36" t="inlineStr">
        <is>
          <t>LR-0008</t>
        </is>
      </c>
      <c r="B9" s="36" t="inlineStr">
        <is>
          <t>HAB-2021-A</t>
        </is>
      </c>
      <c r="C9" s="36" t="inlineStr">
        <is>
          <t>GR-2021</t>
        </is>
      </c>
      <c r="D9" s="44" t="n">
        <v>45445</v>
      </c>
      <c r="E9" s="36" t="inlineStr">
        <is>
          <t>Slip-Fall</t>
        </is>
      </c>
      <c r="F9" s="37" t="n">
        <v>3187.5</v>
      </c>
      <c r="G9" s="37" t="n">
        <v>8196.43</v>
      </c>
      <c r="H9" s="36" t="n"/>
      <c r="I9" s="37">
        <f>F9+G9</f>
        <v/>
      </c>
      <c r="J9" s="37">
        <f>IF(H9="",I9,0)</f>
        <v/>
      </c>
    </row>
    <row r="10" ht="15" customHeight="1" s="23">
      <c r="A10" s="36" t="inlineStr">
        <is>
          <t>LR-0009</t>
        </is>
      </c>
      <c r="B10" s="36" t="inlineStr">
        <is>
          <t>HAB-2024-A</t>
        </is>
      </c>
      <c r="C10" s="36" t="inlineStr">
        <is>
          <t>GR-2024</t>
        </is>
      </c>
      <c r="D10" s="44" t="n">
        <v>45811</v>
      </c>
      <c r="E10" s="36" t="inlineStr">
        <is>
          <t>Water</t>
        </is>
      </c>
      <c r="F10" s="37" t="n">
        <v>18627.93</v>
      </c>
      <c r="G10" s="37" t="n">
        <v>0</v>
      </c>
      <c r="H10" s="36" t="n"/>
      <c r="I10" s="37">
        <f>F10+G10</f>
        <v/>
      </c>
      <c r="J10" s="37">
        <f>IF(H10="",I10,0)</f>
        <v/>
      </c>
    </row>
    <row r="11" ht="15" customHeight="1" s="23">
      <c r="A11" s="36" t="inlineStr">
        <is>
          <t>LR-0010</t>
        </is>
      </c>
      <c r="B11" s="36" t="inlineStr">
        <is>
          <t>HAB-2027-A</t>
        </is>
      </c>
      <c r="C11" s="36" t="inlineStr">
        <is>
          <t>GR-2027</t>
        </is>
      </c>
      <c r="D11" s="44" t="n">
        <v>45429</v>
      </c>
      <c r="E11" s="36" t="inlineStr">
        <is>
          <t>Theft</t>
        </is>
      </c>
      <c r="F11" s="37" t="n">
        <v>5943.03</v>
      </c>
      <c r="G11" s="37" t="n">
        <v>247.63</v>
      </c>
      <c r="H11" s="36" t="n"/>
      <c r="I11" s="37">
        <f>F11+G11</f>
        <v/>
      </c>
      <c r="J11" s="37">
        <f>IF(H11="",I11,0)</f>
        <v/>
      </c>
    </row>
    <row r="12" ht="15" customHeight="1" s="23">
      <c r="A12" s="36" t="inlineStr">
        <is>
          <t>LR-0011</t>
        </is>
      </c>
      <c r="B12" s="36" t="inlineStr">
        <is>
          <t>HAB-2030-A</t>
        </is>
      </c>
      <c r="C12" s="36" t="inlineStr">
        <is>
          <t>GR-2030</t>
        </is>
      </c>
      <c r="D12" s="44" t="n">
        <v>45455</v>
      </c>
      <c r="E12" s="36" t="inlineStr">
        <is>
          <t>Theft</t>
        </is>
      </c>
      <c r="F12" s="37" t="n">
        <v>5249.75</v>
      </c>
      <c r="G12" s="37" t="n">
        <v>648.85</v>
      </c>
      <c r="H12" s="36" t="n"/>
      <c r="I12" s="37">
        <f>F12+G12</f>
        <v/>
      </c>
      <c r="J12" s="37">
        <f>IF(H12="",I12,0)</f>
        <v/>
      </c>
    </row>
    <row r="13" ht="15" customHeight="1" s="23">
      <c r="A13" s="36" t="inlineStr">
        <is>
          <t>LR-0012</t>
        </is>
      </c>
      <c r="B13" s="36" t="inlineStr">
        <is>
          <t>HAB-2033-B</t>
        </is>
      </c>
      <c r="C13" s="36" t="inlineStr">
        <is>
          <t>GR-2033</t>
        </is>
      </c>
      <c r="D13" s="44" t="n">
        <v>45534</v>
      </c>
      <c r="E13" s="36" t="inlineStr">
        <is>
          <t>Slip-Fall</t>
        </is>
      </c>
      <c r="F13" s="37" t="n">
        <v>6120</v>
      </c>
      <c r="G13" s="37" t="n">
        <v>0</v>
      </c>
      <c r="H13" s="36" t="n"/>
      <c r="I13" s="37">
        <f>F13+G13</f>
        <v/>
      </c>
      <c r="J13" s="37">
        <f>IF(H13="",I13,0)</f>
        <v/>
      </c>
    </row>
    <row r="14" ht="15" customHeight="1" s="23">
      <c r="A14" s="36" t="inlineStr">
        <is>
          <t>LR-0013</t>
        </is>
      </c>
      <c r="B14" s="36" t="inlineStr">
        <is>
          <t>HAB-2036-A</t>
        </is>
      </c>
      <c r="C14" s="36" t="inlineStr">
        <is>
          <t>GR-2036</t>
        </is>
      </c>
      <c r="D14" s="44" t="n">
        <v>45580</v>
      </c>
      <c r="E14" s="36" t="inlineStr">
        <is>
          <t>Water</t>
        </is>
      </c>
      <c r="F14" s="37" t="n">
        <v>9053.9</v>
      </c>
      <c r="G14" s="37" t="n">
        <v>1987.44</v>
      </c>
      <c r="H14" s="36" t="n"/>
      <c r="I14" s="37">
        <f>F14+G14</f>
        <v/>
      </c>
      <c r="J14" s="37">
        <f>IF(H14="",I14,0)</f>
        <v/>
      </c>
    </row>
    <row r="15" ht="15" customHeight="1" s="23">
      <c r="A15" s="36" t="inlineStr">
        <is>
          <t>LR-0014</t>
        </is>
      </c>
      <c r="B15" s="36" t="inlineStr">
        <is>
          <t>HAB-2039-A</t>
        </is>
      </c>
      <c r="C15" s="36" t="inlineStr">
        <is>
          <t>GR-2039</t>
        </is>
      </c>
      <c r="D15" s="44" t="n">
        <v>45530</v>
      </c>
      <c r="E15" s="36" t="inlineStr">
        <is>
          <t>Slip-Fall</t>
        </is>
      </c>
      <c r="F15" s="37" t="n">
        <v>5581.86</v>
      </c>
      <c r="G15" s="37" t="n">
        <v>3878.92</v>
      </c>
      <c r="H15" s="36" t="n"/>
      <c r="I15" s="37">
        <f>F15+G15</f>
        <v/>
      </c>
      <c r="J15" s="37">
        <f>IF(H15="",I15,0)</f>
        <v/>
      </c>
    </row>
    <row r="16" ht="15" customHeight="1" s="23">
      <c r="A16" s="36" t="inlineStr">
        <is>
          <t>LR-0015</t>
        </is>
      </c>
      <c r="B16" s="36" t="inlineStr">
        <is>
          <t>HAB-2042-A</t>
        </is>
      </c>
      <c r="C16" s="36" t="inlineStr">
        <is>
          <t>GR-2042</t>
        </is>
      </c>
      <c r="D16" s="44" t="n">
        <v>45832</v>
      </c>
      <c r="E16" s="36" t="inlineStr">
        <is>
          <t>Slip-Fall</t>
        </is>
      </c>
      <c r="F16" s="37" t="n">
        <v>7437.79</v>
      </c>
      <c r="G16" s="37" t="n">
        <v>10271.24</v>
      </c>
      <c r="H16" s="36" t="n"/>
      <c r="I16" s="37">
        <f>F16+G16</f>
        <v/>
      </c>
      <c r="J16" s="37">
        <f>IF(H16="",I16,0)</f>
        <v/>
      </c>
    </row>
    <row r="17" ht="15" customHeight="1" s="23">
      <c r="A17" s="36" t="inlineStr">
        <is>
          <t>LR-0016</t>
        </is>
      </c>
      <c r="B17" s="36" t="inlineStr">
        <is>
          <t>HAB-2045-A</t>
        </is>
      </c>
      <c r="C17" s="36" t="inlineStr">
        <is>
          <t>GR-2045</t>
        </is>
      </c>
      <c r="D17" s="44" t="n">
        <v>45688</v>
      </c>
      <c r="E17" s="36" t="inlineStr">
        <is>
          <t>Theft</t>
        </is>
      </c>
      <c r="F17" s="37" t="n">
        <v>3643.77</v>
      </c>
      <c r="G17" s="37" t="n">
        <v>9369.690000000001</v>
      </c>
      <c r="H17" s="36" t="n"/>
      <c r="I17" s="37">
        <f>F17+G17</f>
        <v/>
      </c>
      <c r="J17" s="37">
        <f>IF(H17="",I17,0)</f>
        <v/>
      </c>
    </row>
    <row r="18" ht="15" customHeight="1" s="23">
      <c r="A18" s="36" t="inlineStr">
        <is>
          <t>LR-0017</t>
        </is>
      </c>
      <c r="B18" s="36" t="inlineStr">
        <is>
          <t>HAB-2047-A</t>
        </is>
      </c>
      <c r="C18" s="36" t="inlineStr">
        <is>
          <t>GR-2047</t>
        </is>
      </c>
      <c r="D18" s="44" t="n">
        <v>45340</v>
      </c>
      <c r="E18" s="36" t="inlineStr">
        <is>
          <t>Water</t>
        </is>
      </c>
      <c r="F18" s="37" t="n">
        <v>3600</v>
      </c>
      <c r="G18" s="37" t="n">
        <v>1200</v>
      </c>
      <c r="H18" s="36" t="n"/>
      <c r="I18" s="37">
        <f>F18+G18</f>
        <v/>
      </c>
      <c r="J18" s="37">
        <f>IF(H18="",I18,0)</f>
        <v/>
      </c>
    </row>
    <row r="19" ht="15" customHeight="1" s="23">
      <c r="A19" s="36" t="inlineStr">
        <is>
          <t>LR-0018</t>
        </is>
      </c>
      <c r="B19" s="36" t="inlineStr">
        <is>
          <t>HAB-2050-A</t>
        </is>
      </c>
      <c r="C19" s="36" t="inlineStr">
        <is>
          <t>GR-2050</t>
        </is>
      </c>
      <c r="D19" s="44" t="n">
        <v>45267</v>
      </c>
      <c r="E19" s="36" t="inlineStr">
        <is>
          <t>Water</t>
        </is>
      </c>
      <c r="F19" s="37" t="n">
        <v>11511.3</v>
      </c>
      <c r="G19" s="37" t="n">
        <v>0</v>
      </c>
      <c r="H19" s="36" t="n"/>
      <c r="I19" s="37">
        <f>F19+G19</f>
        <v/>
      </c>
      <c r="J19" s="37">
        <f>IF(H19="",I19,0)</f>
        <v/>
      </c>
    </row>
    <row r="20" ht="15" customHeight="1" s="23">
      <c r="A20" s="36" t="inlineStr">
        <is>
          <t>LR-0019</t>
        </is>
      </c>
      <c r="B20" s="36" t="inlineStr">
        <is>
          <t>HAB-2053-A</t>
        </is>
      </c>
      <c r="C20" s="36" t="inlineStr">
        <is>
          <t>GR-2053</t>
        </is>
      </c>
      <c r="D20" s="44" t="n">
        <v>45618</v>
      </c>
      <c r="E20" s="36" t="inlineStr">
        <is>
          <t>Water</t>
        </is>
      </c>
      <c r="F20" s="37" t="n">
        <v>11396.76</v>
      </c>
      <c r="G20" s="37" t="n">
        <v>474.87</v>
      </c>
      <c r="H20" s="36" t="n"/>
      <c r="I20" s="37">
        <f>F20+G20</f>
        <v/>
      </c>
      <c r="J20" s="37">
        <f>IF(H20="",I20,0)</f>
        <v/>
      </c>
    </row>
    <row r="21" ht="15" customHeight="1" s="23">
      <c r="A21" s="36" t="inlineStr">
        <is>
          <t>LR-0020</t>
        </is>
      </c>
      <c r="B21" s="36" t="inlineStr">
        <is>
          <t>HAB-2056-A</t>
        </is>
      </c>
      <c r="C21" s="36" t="inlineStr">
        <is>
          <t>GR-2056</t>
        </is>
      </c>
      <c r="D21" s="44" t="n">
        <v>45435</v>
      </c>
      <c r="E21" s="36" t="inlineStr">
        <is>
          <t>Theft</t>
        </is>
      </c>
      <c r="F21" s="37" t="n">
        <v>8868.43</v>
      </c>
      <c r="G21" s="37" t="n">
        <v>1096.1</v>
      </c>
      <c r="H21" s="36" t="n"/>
      <c r="I21" s="37">
        <f>F21+G21</f>
        <v/>
      </c>
      <c r="J21" s="37">
        <f>IF(H21="",I21,0)</f>
        <v/>
      </c>
    </row>
    <row r="22" ht="15" customHeight="1" s="23">
      <c r="A22" s="36" t="inlineStr">
        <is>
          <t>LR-0021</t>
        </is>
      </c>
      <c r="B22" s="36" t="inlineStr">
        <is>
          <t>HAB-2059-A</t>
        </is>
      </c>
      <c r="C22" s="36" t="inlineStr">
        <is>
          <t>GR-2059</t>
        </is>
      </c>
      <c r="D22" s="44" t="n">
        <v>45503</v>
      </c>
      <c r="E22" s="36" t="inlineStr">
        <is>
          <t>Water</t>
        </is>
      </c>
      <c r="F22" s="37" t="n">
        <v>18263.79</v>
      </c>
      <c r="G22" s="37" t="n">
        <v>4009.13</v>
      </c>
      <c r="H22" s="36" t="n"/>
      <c r="I22" s="37">
        <f>F22+G22</f>
        <v/>
      </c>
      <c r="J22" s="37">
        <f>IF(H22="",I22,0)</f>
        <v/>
      </c>
    </row>
    <row r="23" ht="15" customHeight="1" s="23">
      <c r="A23" s="36" t="inlineStr">
        <is>
          <t>LR-0022</t>
        </is>
      </c>
      <c r="B23" s="36" t="inlineStr">
        <is>
          <t>HAB-2062-A</t>
        </is>
      </c>
      <c r="C23" s="36" t="inlineStr">
        <is>
          <t>GR-2062</t>
        </is>
      </c>
      <c r="D23" s="44" t="n">
        <v>45230</v>
      </c>
      <c r="E23" s="36" t="inlineStr">
        <is>
          <t>Theft</t>
        </is>
      </c>
      <c r="F23" s="37" t="n">
        <v>7675.51</v>
      </c>
      <c r="G23" s="37" t="n">
        <v>5333.83</v>
      </c>
      <c r="H23" s="36" t="n"/>
      <c r="I23" s="37">
        <f>F23+G23</f>
        <v/>
      </c>
      <c r="J23" s="37">
        <f>IF(H23="",I23,0)</f>
        <v/>
      </c>
    </row>
    <row r="24" ht="15" customHeight="1" s="23">
      <c r="A24" s="36" t="inlineStr">
        <is>
          <t>LR-0023</t>
        </is>
      </c>
      <c r="B24" s="36" t="inlineStr">
        <is>
          <t>HAB-2065-A</t>
        </is>
      </c>
      <c r="C24" s="36" t="inlineStr">
        <is>
          <t>GR-2065</t>
        </is>
      </c>
      <c r="D24" s="44" t="n">
        <v>45618</v>
      </c>
      <c r="E24" s="36" t="inlineStr">
        <is>
          <t>Water</t>
        </is>
      </c>
      <c r="F24" s="37" t="n">
        <v>1896.74</v>
      </c>
      <c r="G24" s="37" t="n">
        <v>2619.31</v>
      </c>
      <c r="H24" s="36" t="n"/>
      <c r="I24" s="37">
        <f>F24+G24</f>
        <v/>
      </c>
      <c r="J24" s="37">
        <f>IF(H24="",I24,0)</f>
        <v/>
      </c>
    </row>
    <row r="25" ht="15" customHeight="1" s="23">
      <c r="A25" s="36" t="inlineStr">
        <is>
          <t>LR-0024</t>
        </is>
      </c>
      <c r="B25" s="36" t="inlineStr">
        <is>
          <t>HAB-2068-A</t>
        </is>
      </c>
      <c r="C25" s="36" t="inlineStr">
        <is>
          <t>GR-2068</t>
        </is>
      </c>
      <c r="D25" s="44" t="n">
        <v>45762</v>
      </c>
      <c r="E25" s="36" t="inlineStr">
        <is>
          <t>Water</t>
        </is>
      </c>
      <c r="F25" s="37" t="n">
        <v>2075.4</v>
      </c>
      <c r="G25" s="37" t="n">
        <v>5336.73</v>
      </c>
      <c r="H25" s="36" t="n"/>
      <c r="I25" s="37">
        <f>F25+G25</f>
        <v/>
      </c>
      <c r="J25" s="37">
        <f>IF(H25="",I25,0)</f>
        <v/>
      </c>
    </row>
    <row r="26" ht="15" customHeight="1" s="23">
      <c r="A26" s="36" t="inlineStr">
        <is>
          <t>LR-0025</t>
        </is>
      </c>
      <c r="B26" s="36" t="inlineStr">
        <is>
          <t>HAB-2071-A</t>
        </is>
      </c>
      <c r="C26" s="36" t="inlineStr">
        <is>
          <t>GR-2071</t>
        </is>
      </c>
      <c r="D26" s="44" t="n">
        <v>45386</v>
      </c>
      <c r="E26" s="36" t="inlineStr">
        <is>
          <t>Theft</t>
        </is>
      </c>
      <c r="F26" s="37" t="n">
        <v>4796.53</v>
      </c>
      <c r="G26" s="37" t="n">
        <v>0</v>
      </c>
      <c r="H26" s="36" t="n"/>
      <c r="I26" s="37">
        <f>F26+G26</f>
        <v/>
      </c>
      <c r="J26" s="37">
        <f>IF(H26="",I26,0)</f>
        <v/>
      </c>
    </row>
    <row r="27" ht="15" customHeight="1" s="23">
      <c r="A27" s="36" t="inlineStr">
        <is>
          <t>LR-0026</t>
        </is>
      </c>
      <c r="B27" s="36" t="inlineStr">
        <is>
          <t>HAB-2074-A</t>
        </is>
      </c>
      <c r="C27" s="36" t="inlineStr">
        <is>
          <t>GR-2074</t>
        </is>
      </c>
      <c r="D27" s="44" t="n">
        <v>45530</v>
      </c>
      <c r="E27" s="36" t="inlineStr">
        <is>
          <t>Theft</t>
        </is>
      </c>
      <c r="F27" s="37" t="n">
        <v>6309</v>
      </c>
      <c r="G27" s="37" t="n">
        <v>262.88</v>
      </c>
      <c r="H27" s="36" t="n"/>
      <c r="I27" s="37">
        <f>F27+G27</f>
        <v/>
      </c>
      <c r="J27" s="37">
        <f>IF(H27="",I27,0)</f>
        <v/>
      </c>
    </row>
    <row r="28" ht="15" customHeight="1" s="23">
      <c r="A28" s="36" t="inlineStr">
        <is>
          <t>LR-0027</t>
        </is>
      </c>
      <c r="B28" s="36" t="inlineStr">
        <is>
          <t>HAB-2077-A</t>
        </is>
      </c>
      <c r="C28" s="36" t="inlineStr">
        <is>
          <t>GR-2077</t>
        </is>
      </c>
      <c r="D28" s="44" t="n">
        <v>45761</v>
      </c>
      <c r="E28" s="36" t="inlineStr">
        <is>
          <t>Water</t>
        </is>
      </c>
      <c r="F28" s="37" t="n">
        <v>16871.08</v>
      </c>
      <c r="G28" s="37" t="n">
        <v>2085.19</v>
      </c>
      <c r="H28" s="36" t="n"/>
      <c r="I28" s="37">
        <f>F28+G28</f>
        <v/>
      </c>
      <c r="J28" s="37">
        <f>IF(H28="",I28,0)</f>
        <v/>
      </c>
    </row>
    <row r="29" ht="15" customHeight="1" s="23">
      <c r="A29" s="36" t="inlineStr">
        <is>
          <t>LR-0028</t>
        </is>
      </c>
      <c r="B29" s="36" t="inlineStr">
        <is>
          <t>HAB-2080-A</t>
        </is>
      </c>
      <c r="C29" s="36" t="inlineStr">
        <is>
          <t>GR-2080</t>
        </is>
      </c>
      <c r="D29" s="44" t="n">
        <v>45746</v>
      </c>
      <c r="E29" s="36" t="inlineStr">
        <is>
          <t>Slip-Fall</t>
        </is>
      </c>
      <c r="F29" s="37" t="n">
        <v>8604.65</v>
      </c>
      <c r="G29" s="37" t="n">
        <v>1888.82</v>
      </c>
      <c r="H29" s="36" t="n"/>
      <c r="I29" s="37">
        <f>F29+G29</f>
        <v/>
      </c>
      <c r="J29" s="37">
        <f>IF(H29="",I29,0)</f>
        <v/>
      </c>
    </row>
    <row r="30" ht="15" customHeight="1" s="23">
      <c r="A30" s="36" t="inlineStr">
        <is>
          <t>LR-0029</t>
        </is>
      </c>
      <c r="B30" s="36" t="inlineStr">
        <is>
          <t>HAB-2083-A</t>
        </is>
      </c>
      <c r="C30" s="36" t="inlineStr">
        <is>
          <t>GR-2083</t>
        </is>
      </c>
      <c r="D30" s="44" t="n">
        <v>45620</v>
      </c>
      <c r="E30" s="36" t="inlineStr">
        <is>
          <t>Theft</t>
        </is>
      </c>
      <c r="F30" s="37" t="n">
        <v>4735.87</v>
      </c>
      <c r="G30" s="37" t="n">
        <v>3291.02</v>
      </c>
      <c r="H30" s="36" t="n"/>
      <c r="I30" s="37">
        <f>F30+G30</f>
        <v/>
      </c>
      <c r="J30" s="37">
        <f>IF(H30="",I30,0)</f>
        <v/>
      </c>
    </row>
    <row r="31" ht="15" customHeight="1" s="23">
      <c r="A31" s="36" t="inlineStr">
        <is>
          <t>LR-0030</t>
        </is>
      </c>
      <c r="B31" s="36" t="inlineStr">
        <is>
          <t>HAB-2086-A</t>
        </is>
      </c>
      <c r="C31" s="36" t="inlineStr">
        <is>
          <t>GR-2086</t>
        </is>
      </c>
      <c r="D31" s="44" t="n">
        <v>45362</v>
      </c>
      <c r="E31" s="36" t="inlineStr">
        <is>
          <t>Slip-Fall</t>
        </is>
      </c>
      <c r="F31" s="37" t="n">
        <v>10667.35</v>
      </c>
      <c r="G31" s="37" t="n">
        <v>14731.1</v>
      </c>
      <c r="H31" s="36" t="n"/>
      <c r="I31" s="37">
        <f>F31+G31</f>
        <v/>
      </c>
      <c r="J31" s="37">
        <f>IF(H31="",I31,0)</f>
        <v/>
      </c>
    </row>
    <row r="32" ht="15" customHeight="1" s="23">
      <c r="A32" s="36" t="inlineStr">
        <is>
          <t>LR-0031</t>
        </is>
      </c>
      <c r="B32" s="36" t="inlineStr">
        <is>
          <t>HAB-2089-A</t>
        </is>
      </c>
      <c r="C32" s="36" t="inlineStr">
        <is>
          <t>GR-2089</t>
        </is>
      </c>
      <c r="D32" s="44" t="n">
        <v>45471</v>
      </c>
      <c r="E32" s="36" t="inlineStr">
        <is>
          <t>Water</t>
        </is>
      </c>
      <c r="F32" s="37" t="n">
        <v>6580</v>
      </c>
      <c r="G32" s="37" t="n">
        <v>2840</v>
      </c>
      <c r="H32" s="36" t="n"/>
      <c r="I32" s="37">
        <f>F32+G32</f>
        <v/>
      </c>
      <c r="J32" s="37">
        <f>IF(H32="",I32,0)</f>
        <v/>
      </c>
    </row>
    <row r="33" ht="15" customHeight="1" s="23">
      <c r="A33" s="36" t="inlineStr">
        <is>
          <t>LR-0032</t>
        </is>
      </c>
      <c r="B33" s="36" t="inlineStr">
        <is>
          <t>HAB-2092-A</t>
        </is>
      </c>
      <c r="C33" s="36" t="inlineStr">
        <is>
          <t>GR-2092</t>
        </is>
      </c>
      <c r="D33" s="44" t="n">
        <v>45417</v>
      </c>
      <c r="E33" s="36" t="inlineStr">
        <is>
          <t>Theft</t>
        </is>
      </c>
      <c r="F33" s="37" t="n">
        <v>3702.53</v>
      </c>
      <c r="G33" s="37" t="n">
        <v>9520.790000000001</v>
      </c>
      <c r="H33" s="36" t="n"/>
      <c r="I33" s="37">
        <f>F33+G33</f>
        <v/>
      </c>
      <c r="J33" s="37">
        <f>IF(H33="",I33,0)</f>
        <v/>
      </c>
    </row>
    <row r="34" ht="15" customHeight="1" s="23">
      <c r="A34" s="36" t="inlineStr">
        <is>
          <t>LR-0033</t>
        </is>
      </c>
      <c r="B34" s="36" t="inlineStr">
        <is>
          <t>HAB-2113-A</t>
        </is>
      </c>
      <c r="C34" s="36" t="inlineStr">
        <is>
          <t>GR-2113</t>
        </is>
      </c>
      <c r="D34" s="44" t="n">
        <v>45476</v>
      </c>
      <c r="E34" s="36" t="inlineStr">
        <is>
          <t>Theft</t>
        </is>
      </c>
      <c r="F34" s="37" t="n">
        <v>5560</v>
      </c>
      <c r="G34" s="37" t="n">
        <v>2400</v>
      </c>
      <c r="H34" s="36" t="n"/>
      <c r="I34" s="37">
        <f>F34+G34</f>
        <v/>
      </c>
      <c r="J34" s="37">
        <f>IF(H34="",I34,0)</f>
        <v/>
      </c>
    </row>
    <row r="35" ht="15" customHeight="1" s="23">
      <c r="A35" s="36" t="inlineStr">
        <is>
          <t>LR-0034</t>
        </is>
      </c>
      <c r="B35" s="36" t="inlineStr">
        <is>
          <t>HAB-2113-B</t>
        </is>
      </c>
      <c r="C35" s="36" t="inlineStr">
        <is>
          <t>GR-2113</t>
        </is>
      </c>
      <c r="D35" s="44" t="n">
        <v>45617</v>
      </c>
      <c r="E35" s="36" t="inlineStr">
        <is>
          <t>GL</t>
        </is>
      </c>
      <c r="F35" s="37" t="n">
        <v>4980</v>
      </c>
      <c r="G35" s="37" t="n">
        <v>0</v>
      </c>
      <c r="H35" s="36" t="n"/>
      <c r="I35" s="37">
        <f>F35+G35</f>
        <v/>
      </c>
      <c r="J35" s="37">
        <f>IF(H35="",I35,0)</f>
        <v/>
      </c>
    </row>
    <row r="36" ht="15" customHeight="1" s="23">
      <c r="A36" s="36" t="inlineStr">
        <is>
          <t>LR-0035</t>
        </is>
      </c>
      <c r="B36" s="36" t="inlineStr">
        <is>
          <t>HAB-2162-A</t>
        </is>
      </c>
      <c r="C36" s="36" t="inlineStr">
        <is>
          <t>GR-2162</t>
        </is>
      </c>
      <c r="D36" s="44" t="n">
        <v>45378</v>
      </c>
      <c r="E36" s="36" t="inlineStr">
        <is>
          <t>Slip-Fall</t>
        </is>
      </c>
      <c r="F36" s="37" t="n">
        <v>5240</v>
      </c>
      <c r="G36" s="37" t="n">
        <v>0</v>
      </c>
      <c r="H36" s="36" t="n"/>
      <c r="I36" s="37">
        <f>F36+G36</f>
        <v/>
      </c>
      <c r="J36" s="37">
        <f>IF(H36="",I36,0)</f>
        <v/>
      </c>
    </row>
    <row r="37" ht="15" customHeight="1" s="23">
      <c r="A37" s="36" t="inlineStr">
        <is>
          <t>LR-0036</t>
        </is>
      </c>
      <c r="B37" s="36" t="inlineStr">
        <is>
          <t>HAB-2162-C</t>
        </is>
      </c>
      <c r="C37" s="36" t="inlineStr">
        <is>
          <t>GR-2162</t>
        </is>
      </c>
      <c r="D37" s="44" t="n">
        <v>45549</v>
      </c>
      <c r="E37" s="36" t="inlineStr">
        <is>
          <t>Fire</t>
        </is>
      </c>
      <c r="F37" s="37" t="n">
        <v>187640</v>
      </c>
      <c r="G37" s="37" t="n">
        <v>72480</v>
      </c>
      <c r="H37" s="36" t="n"/>
      <c r="I37" s="37">
        <f>F37+G37</f>
        <v/>
      </c>
      <c r="J37" s="37">
        <f>IF(H37="",I37,0)</f>
        <v/>
      </c>
    </row>
    <row r="38" ht="15" customHeight="1" s="23">
      <c r="A38" s="36" t="inlineStr">
        <is>
          <t>LR-0037</t>
        </is>
      </c>
      <c r="B38" s="36" t="inlineStr">
        <is>
          <t>HAB-2195-A</t>
        </is>
      </c>
      <c r="C38" s="36" t="inlineStr">
        <is>
          <t>GR-2195</t>
        </is>
      </c>
      <c r="D38" s="44" t="n">
        <v>45506</v>
      </c>
      <c r="E38" s="36" t="inlineStr">
        <is>
          <t>Fire</t>
        </is>
      </c>
      <c r="F38" s="37" t="n">
        <v>43060</v>
      </c>
      <c r="G38" s="37" t="n">
        <v>0</v>
      </c>
      <c r="H38" s="36" t="n"/>
      <c r="I38" s="37">
        <f>F38+G38</f>
        <v/>
      </c>
      <c r="J38" s="37">
        <f>IF(H38="",I38,0)</f>
        <v/>
      </c>
    </row>
    <row r="39" ht="15" customHeight="1" s="23">
      <c r="A39" s="36" t="inlineStr">
        <is>
          <t>LR-0038</t>
        </is>
      </c>
      <c r="B39" s="36" t="inlineStr">
        <is>
          <t>HAB-2195-A</t>
        </is>
      </c>
      <c r="C39" s="36" t="inlineStr">
        <is>
          <t>GR-2195</t>
        </is>
      </c>
      <c r="D39" s="44" t="n">
        <v>45393</v>
      </c>
      <c r="E39" s="36" t="inlineStr">
        <is>
          <t>Water</t>
        </is>
      </c>
      <c r="F39" s="37" t="n">
        <v>22680</v>
      </c>
      <c r="G39" s="37" t="n">
        <v>0</v>
      </c>
      <c r="H39" s="36" t="n"/>
      <c r="I39" s="37">
        <f>F39+G39</f>
        <v/>
      </c>
      <c r="J39" s="37">
        <f>IF(H39="",I39,0)</f>
        <v/>
      </c>
    </row>
    <row r="40" ht="15" customHeight="1" s="23">
      <c r="A40" s="36" t="inlineStr">
        <is>
          <t>LR-0039</t>
        </is>
      </c>
      <c r="B40" s="36" t="inlineStr">
        <is>
          <t>HAB-2195-B</t>
        </is>
      </c>
      <c r="C40" s="36" t="inlineStr">
        <is>
          <t>GR-2195</t>
        </is>
      </c>
      <c r="D40" s="44" t="n">
        <v>45584</v>
      </c>
      <c r="E40" s="36" t="inlineStr">
        <is>
          <t>Wind</t>
        </is>
      </c>
      <c r="F40" s="37" t="n">
        <v>28440</v>
      </c>
      <c r="G40" s="37" t="n">
        <v>18620</v>
      </c>
      <c r="H40" s="36" t="n"/>
      <c r="I40" s="37">
        <f>F40+G40</f>
        <v/>
      </c>
      <c r="J40" s="37">
        <f>IF(H40="",I40,0)</f>
        <v/>
      </c>
    </row>
    <row r="41" ht="15" customHeight="1" s="23">
      <c r="A41" s="36" t="inlineStr">
        <is>
          <t>LR-0040</t>
        </is>
      </c>
      <c r="B41" s="36" t="inlineStr">
        <is>
          <t>HAB-2195-B</t>
        </is>
      </c>
      <c r="C41" s="36" t="inlineStr">
        <is>
          <t>GR-2195</t>
        </is>
      </c>
      <c r="D41" s="44" t="n">
        <v>45297</v>
      </c>
      <c r="E41" s="36" t="inlineStr">
        <is>
          <t>Slip-Fall</t>
        </is>
      </c>
      <c r="F41" s="37" t="n">
        <v>19880</v>
      </c>
      <c r="G41" s="37" t="n">
        <v>9420</v>
      </c>
      <c r="H41" s="36" t="n"/>
      <c r="I41" s="37">
        <f>F41+G41</f>
        <v/>
      </c>
      <c r="J41" s="37">
        <f>IF(H41="",I41,0)</f>
        <v/>
      </c>
    </row>
    <row r="42" ht="15" customHeight="1" s="23">
      <c r="A42" s="36" t="inlineStr">
        <is>
          <t>LR-0041</t>
        </is>
      </c>
      <c r="B42" s="36" t="inlineStr">
        <is>
          <t>HAB-2200-A</t>
        </is>
      </c>
      <c r="C42" s="36" t="inlineStr">
        <is>
          <t>GR-2200</t>
        </is>
      </c>
      <c r="D42" s="44" t="n">
        <v>45305</v>
      </c>
      <c r="E42" s="36" t="inlineStr">
        <is>
          <t>Theft</t>
        </is>
      </c>
      <c r="F42" s="37" t="n">
        <v>13137.04</v>
      </c>
      <c r="G42" s="37" t="n">
        <v>547.38</v>
      </c>
      <c r="H42" s="36" t="n"/>
      <c r="I42" s="37">
        <f>F42+G42</f>
        <v/>
      </c>
      <c r="J42" s="37">
        <f>IF(H42="",I42,0)</f>
        <v/>
      </c>
    </row>
    <row r="43" ht="15" customHeight="1" s="23">
      <c r="A43" s="36" t="inlineStr">
        <is>
          <t>LR-0042</t>
        </is>
      </c>
      <c r="B43" s="36" t="inlineStr">
        <is>
          <t>HAB-2071-A</t>
        </is>
      </c>
      <c r="C43" s="36" t="inlineStr">
        <is>
          <t>GR-2071</t>
        </is>
      </c>
      <c r="D43" s="44" t="n">
        <v>45523</v>
      </c>
      <c r="E43" s="36" t="inlineStr">
        <is>
          <t>Wind</t>
        </is>
      </c>
      <c r="F43" s="37" t="n">
        <v>284600</v>
      </c>
      <c r="G43" s="37" t="n">
        <v>0</v>
      </c>
      <c r="H43" s="36" t="inlineStr">
        <is>
          <t>CAT-2408</t>
        </is>
      </c>
      <c r="I43" s="37">
        <f>F43+G43</f>
        <v/>
      </c>
      <c r="J43" s="37">
        <f>IF(H43="",I43,0)</f>
        <v/>
      </c>
    </row>
  </sheetData>
  <autoFilter ref="A1:J4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2026-09-29T07:56:26Z</dcterms:created>
  <dcterms:modified xmlns:dcterms="http://purl.org/dc/terms/" xmlns:xsi="http://www.w3.org/2001/XMLSchema-instance" xsi:type="dcterms:W3CDTF">2026-09-29T16:29:53Z</dcterms:modified>
  <cp:revision>0</cp:revision>
</cp:coreProperties>
</file>