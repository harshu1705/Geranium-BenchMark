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1F696095-A98C-428C-A96C-81EB7CB2A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osed Claims" sheetId="1" r:id="rId1"/>
    <sheet name="Repair Timing" sheetId="2" r:id="rId2"/>
    <sheet name="Field Guide" sheetId="3" r:id="rId3"/>
  </sheets>
  <calcPr calcId="191029"/>
</workbook>
</file>

<file path=xl/calcChain.xml><?xml version="1.0" encoding="utf-8"?>
<calcChain xmlns="http://schemas.openxmlformats.org/spreadsheetml/2006/main">
  <c r="D36" i="2" l="1"/>
  <c r="D35" i="2"/>
  <c r="D34" i="2"/>
  <c r="N34" i="1" s="1"/>
  <c r="D33" i="2"/>
  <c r="N33" i="1" s="1"/>
  <c r="D32" i="2"/>
  <c r="D31" i="2"/>
  <c r="N31" i="1" s="1"/>
  <c r="D30" i="2"/>
  <c r="D29" i="2"/>
  <c r="N29" i="1" s="1"/>
  <c r="D28" i="2"/>
  <c r="D27" i="2"/>
  <c r="D26" i="2"/>
  <c r="N26" i="1" s="1"/>
  <c r="D25" i="2"/>
  <c r="D24" i="2"/>
  <c r="D23" i="2"/>
  <c r="N23" i="1" s="1"/>
  <c r="D22" i="2"/>
  <c r="D21" i="2"/>
  <c r="N21" i="1" s="1"/>
  <c r="D20" i="2"/>
  <c r="D19" i="2"/>
  <c r="D18" i="2"/>
  <c r="N18" i="1" s="1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N36" i="1"/>
  <c r="N35" i="1"/>
  <c r="N32" i="1"/>
  <c r="N30" i="1"/>
  <c r="N28" i="1"/>
  <c r="N27" i="1"/>
  <c r="N25" i="1"/>
  <c r="N24" i="1"/>
  <c r="N22" i="1"/>
  <c r="N20" i="1"/>
  <c r="N19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<sst xmlns="http://schemas.openxmlformats.org/spreadsheetml/2006/main" count="392" uniqueCount="126">
  <si>
    <t>Closed Physical-Damage Claim Extract</t>
  </si>
  <si>
    <t>Arizona network and non-network repair files closed during the 2026 monsoon review window</t>
  </si>
  <si>
    <t>Claim ID</t>
  </si>
  <si>
    <t>Loss date</t>
  </si>
  <si>
    <t>Close date</t>
  </si>
  <si>
    <t>County</t>
  </si>
  <si>
    <t>Appraiser ID</t>
  </si>
  <si>
    <t>Facility ID</t>
  </si>
  <si>
    <t>Vehicle year</t>
  </si>
  <si>
    <t>Make</t>
  </si>
  <si>
    <t>Drivable</t>
  </si>
  <si>
    <t>Original estimate</t>
  </si>
  <si>
    <t>Approved supplements</t>
  </si>
  <si>
    <t>Final repair paid</t>
  </si>
  <si>
    <t>Highest approved labor rate</t>
  </si>
  <si>
    <t>Repair days</t>
  </si>
  <si>
    <t>Estimate revisions</t>
  </si>
  <si>
    <t>Program segment</t>
  </si>
  <si>
    <t>Claim status</t>
  </si>
  <si>
    <t>Payment status</t>
  </si>
  <si>
    <t>AZR-26-0701</t>
  </si>
  <si>
    <t>Maricopa</t>
  </si>
  <si>
    <t>AP-118</t>
  </si>
  <si>
    <t>F-101</t>
  </si>
  <si>
    <t>Honda</t>
  </si>
  <si>
    <t>Yes</t>
  </si>
  <si>
    <t>Network</t>
  </si>
  <si>
    <t>Closed</t>
  </si>
  <si>
    <t>Paid</t>
  </si>
  <si>
    <t>AZR-26-0702</t>
  </si>
  <si>
    <t>F-108</t>
  </si>
  <si>
    <t>Toyota</t>
  </si>
  <si>
    <t>AZR-26-0703</t>
  </si>
  <si>
    <t>F-117</t>
  </si>
  <si>
    <t>Ford</t>
  </si>
  <si>
    <t>AZR-26-0704</t>
  </si>
  <si>
    <t>Pima</t>
  </si>
  <si>
    <t>F-203</t>
  </si>
  <si>
    <t>Nissan</t>
  </si>
  <si>
    <t>No</t>
  </si>
  <si>
    <t>AZR-26-0705</t>
  </si>
  <si>
    <t>Yavapai</t>
  </si>
  <si>
    <t>F-304</t>
  </si>
  <si>
    <t>Chevrolet</t>
  </si>
  <si>
    <t>AZR-26-0706</t>
  </si>
  <si>
    <t>AZR-26-0707</t>
  </si>
  <si>
    <t>Jeep</t>
  </si>
  <si>
    <t>AZR-26-0708</t>
  </si>
  <si>
    <t>Coconino</t>
  </si>
  <si>
    <t>F-402</t>
  </si>
  <si>
    <t>Subaru</t>
  </si>
  <si>
    <t>AZR-26-0709</t>
  </si>
  <si>
    <t>AP-204</t>
  </si>
  <si>
    <t>F-211</t>
  </si>
  <si>
    <t>AZR-26-0710</t>
  </si>
  <si>
    <t>Mazda</t>
  </si>
  <si>
    <t>AZR-26-0711</t>
  </si>
  <si>
    <t>AZR-26-0712</t>
  </si>
  <si>
    <t>F-409</t>
  </si>
  <si>
    <t>Hyundai</t>
  </si>
  <si>
    <t>Non-network</t>
  </si>
  <si>
    <t>AZR-26-0713</t>
  </si>
  <si>
    <t>AZR-26-0714</t>
  </si>
  <si>
    <t>AZR-26-0715</t>
  </si>
  <si>
    <t>Kia</t>
  </si>
  <si>
    <t>AZR-26-0716</t>
  </si>
  <si>
    <t>AZR-26-0717</t>
  </si>
  <si>
    <t>AZR-26-0718</t>
  </si>
  <si>
    <t>AZR-26-0719</t>
  </si>
  <si>
    <t>GMC</t>
  </si>
  <si>
    <t>AZR-26-0720</t>
  </si>
  <si>
    <t>AP-311</t>
  </si>
  <si>
    <t>AZR-26-0721</t>
  </si>
  <si>
    <t>AZR-26-0722</t>
  </si>
  <si>
    <t>AZR-26-0723</t>
  </si>
  <si>
    <t>AZR-26-0724</t>
  </si>
  <si>
    <t>AZR-26-0725</t>
  </si>
  <si>
    <t>AZR-26-0726</t>
  </si>
  <si>
    <t>AP-427</t>
  </si>
  <si>
    <t>AZR-26-0727</t>
  </si>
  <si>
    <t>AZR-26-0728</t>
  </si>
  <si>
    <t>AZR-26-0729</t>
  </si>
  <si>
    <t>AZR-26-0730</t>
  </si>
  <si>
    <t>AZR-26-0731</t>
  </si>
  <si>
    <t>AZR-26-0732</t>
  </si>
  <si>
    <t>Repair Authorization and Completion</t>
  </si>
  <si>
    <t>Arizona local time. Calendar days = completion date minus authorization date; endpoints are not both counted.</t>
  </si>
  <si>
    <t>Repair authorized at</t>
  </si>
  <si>
    <t>Repair completed at</t>
  </si>
  <si>
    <t>Extract Field Guide</t>
  </si>
  <si>
    <t>Fields retained from the closed-claim reporting export; amounts are approved repair payments, not reserves</t>
  </si>
  <si>
    <t>Field</t>
  </si>
  <si>
    <t>Definition</t>
  </si>
  <si>
    <t>Source system behavior</t>
  </si>
  <si>
    <t>Review caution</t>
  </si>
  <si>
    <t>First approved repair estimate</t>
  </si>
  <si>
    <t>Excludes later supplements</t>
  </si>
  <si>
    <t>Do not compare without claim mix and supplement detail</t>
  </si>
  <si>
    <t>All approved post-original additions</t>
  </si>
  <si>
    <t>Includes labor and non-labor lines</t>
  </si>
  <si>
    <t>Support and rate validity are tested elsewhere</t>
  </si>
  <si>
    <t>Original estimate plus approved supplements</t>
  </si>
  <si>
    <t>Closed-paid amount</t>
  </si>
  <si>
    <t>Use as the denominator for leakage incidence</t>
  </si>
  <si>
    <t>Highest hourly rate on any approved line</t>
  </si>
  <si>
    <t>May include a documented exception premium</t>
  </si>
  <si>
    <t>Test against territory, operation and exception code</t>
  </si>
  <si>
    <t>INT(completion timestamp) minus INT(authorization timestamp)</t>
  </si>
  <si>
    <t>Repair Timing sheet; authorization matches original estimate approval</t>
  </si>
  <si>
    <t>Elapsed calendar-date difference, not inclusive days or rental entitlement</t>
  </si>
  <si>
    <t>Count of approved estimate versions</t>
  </si>
  <si>
    <t>System increments on each approved version</t>
  </si>
  <si>
    <t>A high count is not itself an exception</t>
  </si>
  <si>
    <t>Network or non-network at close</t>
  </si>
  <si>
    <t>Historical status is retained</t>
  </si>
  <si>
    <t>Facility roster controls certification and remote status</t>
  </si>
  <si>
    <t>Financial close status</t>
  </si>
  <si>
    <t>All rows are closed-paid</t>
  </si>
  <si>
    <t>Closed status does not prove supporting evidence was timely</t>
  </si>
  <si>
    <t>Payment disposition at reporting cutoff</t>
  </si>
  <si>
    <t>All rows are paid</t>
  </si>
  <si>
    <t>Use with claim status to define the closed-paid population</t>
  </si>
  <si>
    <t>Loss date / Close date</t>
  </si>
  <si>
    <t>Arizona local timestamps; Close date is the evidence cutoff</t>
  </si>
  <si>
    <t>Close timestamp is identical in Claim Timeline</t>
  </si>
  <si>
    <t>Use the full timestamp, not an end-of-day substitution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</si>
</sst>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3A3A37"/>
      <name val="Carlito"/>
    </font>
    <font>
      <b/>
      <sz val="10"/>
      <color rgb="FFFFFFFF"/>
      <name val="Carlito"/>
    </font>
    <font>
      <sz val="10"/>
      <color rgb="FF1111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A3A37"/>
      </patternFill>
    </fill>
    <fill>
      <patternFill patternType="solid">
        <fgColor rgb="FFF1E8DF"/>
      </patternFill>
    </fill>
    <fill>
      <patternFill patternType="solid">
        <fgColor rgb="FFB85C38"/>
      </patternFill>
    </fill>
  </fills>
  <borders count="5">
    <border>
      <left/>
      <right/>
      <top/>
      <bottom/>
      <diagonal/>
    </border>
    <border>
      <left style="thin">
        <color rgb="FFD7D0C8"/>
      </left>
      <right style="thin">
        <color rgb="FFD7D0C8"/>
      </right>
      <top style="thin">
        <color rgb="FFD7D0C8"/>
      </top>
      <bottom style="thin">
        <color rgb="FFD7D0C8"/>
      </bottom>
      <diagonal/>
    </border>
    <border>
      <left/>
      <right/>
      <top/>
      <bottom style="thin">
        <color rgb="FFD7D0C8"/>
      </bottom>
      <diagonal/>
    </border>
    <border>
      <left/>
      <right/>
      <top style="thin">
        <color rgb="FFD7D0C8"/>
      </top>
      <bottom style="thin">
        <color rgb="FFD7D0C8"/>
      </bottom>
      <diagonal/>
    </border>
    <border>
      <left/>
      <right/>
      <top style="thin">
        <color rgb="FFD7D0C8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" fontId="4" fillId="0" borderId="2" xfId="0" applyNumberFormat="1" applyFont="1" applyBorder="1" applyAlignment="1">
      <alignment vertical="center"/>
    </xf>
    <xf numFmtId="1" fontId="4" fillId="0" borderId="3" xfId="0" applyNumberFormat="1" applyFont="1" applyBorder="1" applyAlignment="1">
      <alignment vertical="center"/>
    </xf>
    <xf numFmtId="1" fontId="4" fillId="0" borderId="4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showGridLines="0" tabSelected="1" workbookViewId="0">
      <selection sqref="A1:R1"/>
    </sheetView>
  </sheetViews>
  <sheetFormatPr defaultRowHeight="13.8"/>
  <cols>
    <col min="1" max="1" width="16" customWidth="1"/>
    <col min="2" max="3" width="20" customWidth="1"/>
    <col min="4" max="5" width="13" customWidth="1"/>
    <col min="6" max="7" width="12" customWidth="1"/>
    <col min="8" max="8" width="13" customWidth="1"/>
    <col min="9" max="9" width="10" customWidth="1"/>
    <col min="10" max="10" width="16" customWidth="1"/>
    <col min="11" max="11" width="18" customWidth="1"/>
    <col min="12" max="12" width="16" customWidth="1"/>
    <col min="13" max="13" width="19" customWidth="1"/>
    <col min="14" max="14" width="12" customWidth="1"/>
    <col min="15" max="15" width="15" customWidth="1"/>
    <col min="16" max="16" width="16" customWidth="1"/>
    <col min="17" max="17" width="13" customWidth="1"/>
    <col min="18" max="18" width="14" customWidth="1"/>
  </cols>
  <sheetData>
    <row r="1" spans="1:18" ht="28.9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5.0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4" spans="1:18" ht="31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>
      <c r="A5" s="2" t="s">
        <v>20</v>
      </c>
      <c r="B5" s="5">
        <v>46206.304166666669</v>
      </c>
      <c r="C5" s="5">
        <v>46237.640277777777</v>
      </c>
      <c r="D5" s="2" t="s">
        <v>21</v>
      </c>
      <c r="E5" s="2" t="s">
        <v>22</v>
      </c>
      <c r="F5" s="2" t="s">
        <v>23</v>
      </c>
      <c r="G5" s="2">
        <v>2021</v>
      </c>
      <c r="H5" s="2" t="s">
        <v>24</v>
      </c>
      <c r="I5" s="2" t="s">
        <v>25</v>
      </c>
      <c r="J5" s="8">
        <v>4258.17</v>
      </c>
      <c r="K5" s="8">
        <v>560.45000000000005</v>
      </c>
      <c r="L5" s="8">
        <v>4818.62</v>
      </c>
      <c r="M5" s="8">
        <v>68</v>
      </c>
      <c r="N5" s="2">
        <f>'Repair Timing'!D5</f>
        <v>8</v>
      </c>
      <c r="O5" s="2">
        <v>2</v>
      </c>
      <c r="P5" s="2" t="s">
        <v>26</v>
      </c>
      <c r="Q5" s="2" t="s">
        <v>27</v>
      </c>
      <c r="R5" s="2" t="s">
        <v>28</v>
      </c>
    </row>
    <row r="6" spans="1:18">
      <c r="A6" s="3" t="s">
        <v>29</v>
      </c>
      <c r="B6" s="6">
        <v>46207.695833333331</v>
      </c>
      <c r="C6" s="6">
        <v>46238.45</v>
      </c>
      <c r="D6" s="3" t="s">
        <v>21</v>
      </c>
      <c r="E6" s="3" t="s">
        <v>22</v>
      </c>
      <c r="F6" s="3" t="s">
        <v>30</v>
      </c>
      <c r="G6" s="3">
        <v>2020</v>
      </c>
      <c r="H6" s="3" t="s">
        <v>31</v>
      </c>
      <c r="I6" s="3" t="s">
        <v>25</v>
      </c>
      <c r="J6" s="9">
        <v>4991.34</v>
      </c>
      <c r="K6" s="9">
        <v>809.9</v>
      </c>
      <c r="L6" s="9">
        <v>5801.24</v>
      </c>
      <c r="M6" s="9">
        <v>70</v>
      </c>
      <c r="N6" s="3">
        <f>'Repair Timing'!D6</f>
        <v>12</v>
      </c>
      <c r="O6" s="3">
        <v>5</v>
      </c>
      <c r="P6" s="3" t="s">
        <v>26</v>
      </c>
      <c r="Q6" s="3" t="s">
        <v>27</v>
      </c>
      <c r="R6" s="3" t="s">
        <v>28</v>
      </c>
    </row>
    <row r="7" spans="1:18">
      <c r="A7" s="3" t="s">
        <v>32</v>
      </c>
      <c r="B7" s="6">
        <v>46209.379861111112</v>
      </c>
      <c r="C7" s="6">
        <v>46242.711805555555</v>
      </c>
      <c r="D7" s="3" t="s">
        <v>21</v>
      </c>
      <c r="E7" s="3" t="s">
        <v>22</v>
      </c>
      <c r="F7" s="3" t="s">
        <v>33</v>
      </c>
      <c r="G7" s="3">
        <v>2023</v>
      </c>
      <c r="H7" s="3" t="s">
        <v>34</v>
      </c>
      <c r="I7" s="3" t="s">
        <v>25</v>
      </c>
      <c r="J7" s="9">
        <v>4200.3500000000004</v>
      </c>
      <c r="K7" s="9">
        <v>733.35</v>
      </c>
      <c r="L7" s="9">
        <v>4933.7</v>
      </c>
      <c r="M7" s="9">
        <v>68</v>
      </c>
      <c r="N7" s="3">
        <f>'Repair Timing'!D7</f>
        <v>6</v>
      </c>
      <c r="O7" s="3">
        <v>3</v>
      </c>
      <c r="P7" s="3" t="s">
        <v>26</v>
      </c>
      <c r="Q7" s="3" t="s">
        <v>27</v>
      </c>
      <c r="R7" s="3" t="s">
        <v>28</v>
      </c>
    </row>
    <row r="8" spans="1:18">
      <c r="A8" s="3" t="s">
        <v>35</v>
      </c>
      <c r="B8" s="6">
        <v>46208.854861111111</v>
      </c>
      <c r="C8" s="6">
        <v>46240.521527777775</v>
      </c>
      <c r="D8" s="3" t="s">
        <v>36</v>
      </c>
      <c r="E8" s="3" t="s">
        <v>22</v>
      </c>
      <c r="F8" s="3" t="s">
        <v>37</v>
      </c>
      <c r="G8" s="3">
        <v>2022</v>
      </c>
      <c r="H8" s="3" t="s">
        <v>38</v>
      </c>
      <c r="I8" s="3" t="s">
        <v>39</v>
      </c>
      <c r="J8" s="9">
        <v>6457.68</v>
      </c>
      <c r="K8" s="9">
        <v>1161.8</v>
      </c>
      <c r="L8" s="9">
        <v>7619.48</v>
      </c>
      <c r="M8" s="9">
        <v>122</v>
      </c>
      <c r="N8" s="3">
        <f>'Repair Timing'!D8</f>
        <v>17</v>
      </c>
      <c r="O8" s="3">
        <v>4</v>
      </c>
      <c r="P8" s="3" t="s">
        <v>26</v>
      </c>
      <c r="Q8" s="3" t="s">
        <v>27</v>
      </c>
      <c r="R8" s="3" t="s">
        <v>28</v>
      </c>
    </row>
    <row r="9" spans="1:18">
      <c r="A9" s="3" t="s">
        <v>40</v>
      </c>
      <c r="B9" s="6">
        <v>46211.287499999999</v>
      </c>
      <c r="C9" s="6">
        <v>46245.384722222225</v>
      </c>
      <c r="D9" s="3" t="s">
        <v>41</v>
      </c>
      <c r="E9" s="3" t="s">
        <v>22</v>
      </c>
      <c r="F9" s="3" t="s">
        <v>42</v>
      </c>
      <c r="G9" s="3">
        <v>2024</v>
      </c>
      <c r="H9" s="3" t="s">
        <v>43</v>
      </c>
      <c r="I9" s="3" t="s">
        <v>25</v>
      </c>
      <c r="J9" s="9">
        <v>7190.85</v>
      </c>
      <c r="K9" s="9">
        <v>725.8</v>
      </c>
      <c r="L9" s="9">
        <v>7916.65</v>
      </c>
      <c r="M9" s="9">
        <v>80</v>
      </c>
      <c r="N9" s="3">
        <f>'Repair Timing'!D9</f>
        <v>9</v>
      </c>
      <c r="O9" s="3">
        <v>2</v>
      </c>
      <c r="P9" s="3" t="s">
        <v>26</v>
      </c>
      <c r="Q9" s="3" t="s">
        <v>27</v>
      </c>
      <c r="R9" s="3" t="s">
        <v>28</v>
      </c>
    </row>
    <row r="10" spans="1:18">
      <c r="A10" s="3" t="s">
        <v>44</v>
      </c>
      <c r="B10" s="6">
        <v>46210.55972222222</v>
      </c>
      <c r="C10" s="6">
        <v>46243.692361111112</v>
      </c>
      <c r="D10" s="3" t="s">
        <v>21</v>
      </c>
      <c r="E10" s="3" t="s">
        <v>22</v>
      </c>
      <c r="F10" s="3" t="s">
        <v>33</v>
      </c>
      <c r="G10" s="3">
        <v>2019</v>
      </c>
      <c r="H10" s="3" t="s">
        <v>24</v>
      </c>
      <c r="I10" s="3" t="s">
        <v>25</v>
      </c>
      <c r="J10" s="9">
        <v>7923.13</v>
      </c>
      <c r="K10" s="9">
        <v>1161.7</v>
      </c>
      <c r="L10" s="9">
        <v>9084.83</v>
      </c>
      <c r="M10" s="9">
        <v>76</v>
      </c>
      <c r="N10" s="3">
        <f>'Repair Timing'!D10</f>
        <v>14</v>
      </c>
      <c r="O10" s="3">
        <v>6</v>
      </c>
      <c r="P10" s="3" t="s">
        <v>26</v>
      </c>
      <c r="Q10" s="3" t="s">
        <v>27</v>
      </c>
      <c r="R10" s="3" t="s">
        <v>28</v>
      </c>
    </row>
    <row r="11" spans="1:18">
      <c r="A11" s="3" t="s">
        <v>45</v>
      </c>
      <c r="B11" s="6">
        <v>46214.922222222223</v>
      </c>
      <c r="C11" s="6">
        <v>46249.495138888888</v>
      </c>
      <c r="D11" s="3" t="s">
        <v>21</v>
      </c>
      <c r="E11" s="3" t="s">
        <v>22</v>
      </c>
      <c r="F11" s="3" t="s">
        <v>23</v>
      </c>
      <c r="G11" s="3">
        <v>2021</v>
      </c>
      <c r="H11" s="3" t="s">
        <v>46</v>
      </c>
      <c r="I11" s="3" t="s">
        <v>25</v>
      </c>
      <c r="J11" s="9">
        <v>8656.2999999999993</v>
      </c>
      <c r="K11" s="9">
        <v>460.15</v>
      </c>
      <c r="L11" s="9">
        <v>9116.4500000000007</v>
      </c>
      <c r="M11" s="9">
        <v>68</v>
      </c>
      <c r="N11" s="3">
        <f>'Repair Timing'!D11</f>
        <v>11</v>
      </c>
      <c r="O11" s="3">
        <v>3</v>
      </c>
      <c r="P11" s="3" t="s">
        <v>26</v>
      </c>
      <c r="Q11" s="3" t="s">
        <v>27</v>
      </c>
      <c r="R11" s="3" t="s">
        <v>28</v>
      </c>
    </row>
    <row r="12" spans="1:18">
      <c r="A12" s="3" t="s">
        <v>47</v>
      </c>
      <c r="B12" s="6">
        <v>46212.48541666667</v>
      </c>
      <c r="C12" s="6">
        <v>46246.601388888892</v>
      </c>
      <c r="D12" s="3" t="s">
        <v>48</v>
      </c>
      <c r="E12" s="3" t="s">
        <v>22</v>
      </c>
      <c r="F12" s="3" t="s">
        <v>49</v>
      </c>
      <c r="G12" s="3">
        <v>2020</v>
      </c>
      <c r="H12" s="3" t="s">
        <v>50</v>
      </c>
      <c r="I12" s="3" t="s">
        <v>39</v>
      </c>
      <c r="J12" s="9">
        <v>9389.4699999999993</v>
      </c>
      <c r="K12" s="9">
        <v>719.6</v>
      </c>
      <c r="L12" s="9">
        <v>10109.07</v>
      </c>
      <c r="M12" s="9">
        <v>72</v>
      </c>
      <c r="N12" s="3">
        <f>'Repair Timing'!D12</f>
        <v>21</v>
      </c>
      <c r="O12" s="3">
        <v>5</v>
      </c>
      <c r="P12" s="3" t="s">
        <v>26</v>
      </c>
      <c r="Q12" s="3" t="s">
        <v>27</v>
      </c>
      <c r="R12" s="3" t="s">
        <v>28</v>
      </c>
    </row>
    <row r="13" spans="1:18">
      <c r="A13" s="3" t="s">
        <v>51</v>
      </c>
      <c r="B13" s="6">
        <v>46215.758333333331</v>
      </c>
      <c r="C13" s="6">
        <v>46251.362500000003</v>
      </c>
      <c r="D13" s="3" t="s">
        <v>36</v>
      </c>
      <c r="E13" s="3" t="s">
        <v>52</v>
      </c>
      <c r="F13" s="3" t="s">
        <v>53</v>
      </c>
      <c r="G13" s="3">
        <v>2022</v>
      </c>
      <c r="H13" s="3" t="s">
        <v>31</v>
      </c>
      <c r="I13" s="3" t="s">
        <v>25</v>
      </c>
      <c r="J13" s="9">
        <v>4022.64</v>
      </c>
      <c r="K13" s="9">
        <v>784.25</v>
      </c>
      <c r="L13" s="9">
        <v>4806.8900000000003</v>
      </c>
      <c r="M13" s="9">
        <v>72</v>
      </c>
      <c r="N13" s="3">
        <f>'Repair Timing'!D13</f>
        <v>7</v>
      </c>
      <c r="O13" s="3">
        <v>4</v>
      </c>
      <c r="P13" s="3" t="s">
        <v>26</v>
      </c>
      <c r="Q13" s="3" t="s">
        <v>27</v>
      </c>
      <c r="R13" s="3" t="s">
        <v>28</v>
      </c>
    </row>
    <row r="14" spans="1:18">
      <c r="A14" s="3" t="s">
        <v>54</v>
      </c>
      <c r="B14" s="6">
        <v>46213.365972222222</v>
      </c>
      <c r="C14" s="6">
        <v>46248.756249999999</v>
      </c>
      <c r="D14" s="3" t="s">
        <v>36</v>
      </c>
      <c r="E14" s="3" t="s">
        <v>52</v>
      </c>
      <c r="F14" s="3" t="s">
        <v>53</v>
      </c>
      <c r="G14" s="3">
        <v>2023</v>
      </c>
      <c r="H14" s="3" t="s">
        <v>55</v>
      </c>
      <c r="I14" s="3" t="s">
        <v>25</v>
      </c>
      <c r="J14" s="9">
        <v>4755.8100000000004</v>
      </c>
      <c r="K14" s="9">
        <v>1026.5</v>
      </c>
      <c r="L14" s="9">
        <v>5782.31</v>
      </c>
      <c r="M14" s="9">
        <v>112</v>
      </c>
      <c r="N14" s="3">
        <f>'Repair Timing'!D14</f>
        <v>16</v>
      </c>
      <c r="O14" s="3">
        <v>2</v>
      </c>
      <c r="P14" s="3" t="s">
        <v>26</v>
      </c>
      <c r="Q14" s="3" t="s">
        <v>27</v>
      </c>
      <c r="R14" s="3" t="s">
        <v>28</v>
      </c>
    </row>
    <row r="15" spans="1:18">
      <c r="A15" s="3" t="s">
        <v>56</v>
      </c>
      <c r="B15" s="6">
        <v>46217.627083333333</v>
      </c>
      <c r="C15" s="6">
        <v>46252.553472222222</v>
      </c>
      <c r="D15" s="3" t="s">
        <v>36</v>
      </c>
      <c r="E15" s="3" t="s">
        <v>52</v>
      </c>
      <c r="F15" s="3" t="s">
        <v>37</v>
      </c>
      <c r="G15" s="3">
        <v>2021</v>
      </c>
      <c r="H15" s="3" t="s">
        <v>34</v>
      </c>
      <c r="I15" s="3" t="s">
        <v>25</v>
      </c>
      <c r="J15" s="9">
        <v>4450.2</v>
      </c>
      <c r="K15" s="9">
        <v>1050</v>
      </c>
      <c r="L15" s="9">
        <v>5500.2</v>
      </c>
      <c r="M15" s="9">
        <v>64</v>
      </c>
      <c r="N15" s="3">
        <f>'Repair Timing'!D15</f>
        <v>10</v>
      </c>
      <c r="O15" s="3">
        <v>7</v>
      </c>
      <c r="P15" s="3" t="s">
        <v>26</v>
      </c>
      <c r="Q15" s="3" t="s">
        <v>27</v>
      </c>
      <c r="R15" s="3" t="s">
        <v>28</v>
      </c>
    </row>
    <row r="16" spans="1:18">
      <c r="A16" s="3" t="s">
        <v>57</v>
      </c>
      <c r="B16" s="6">
        <v>46216.23333333333</v>
      </c>
      <c r="C16" s="6">
        <v>46250.419444444444</v>
      </c>
      <c r="D16" s="3" t="s">
        <v>48</v>
      </c>
      <c r="E16" s="3" t="s">
        <v>52</v>
      </c>
      <c r="F16" s="3" t="s">
        <v>58</v>
      </c>
      <c r="G16" s="3">
        <v>2018</v>
      </c>
      <c r="H16" s="3" t="s">
        <v>59</v>
      </c>
      <c r="I16" s="3" t="s">
        <v>39</v>
      </c>
      <c r="J16" s="9">
        <v>6221.26</v>
      </c>
      <c r="K16" s="9">
        <v>1061.4000000000001</v>
      </c>
      <c r="L16" s="9">
        <v>7282.66</v>
      </c>
      <c r="M16" s="9">
        <v>76</v>
      </c>
      <c r="N16" s="3">
        <f>'Repair Timing'!D16</f>
        <v>13</v>
      </c>
      <c r="O16" s="3">
        <v>3</v>
      </c>
      <c r="P16" s="3" t="s">
        <v>60</v>
      </c>
      <c r="Q16" s="3" t="s">
        <v>27</v>
      </c>
      <c r="R16" s="3" t="s">
        <v>28</v>
      </c>
    </row>
    <row r="17" spans="1:18">
      <c r="A17" s="3" t="s">
        <v>61</v>
      </c>
      <c r="B17" s="6">
        <v>46220.808333333334</v>
      </c>
      <c r="C17" s="6">
        <v>46254.70208333333</v>
      </c>
      <c r="D17" s="3" t="s">
        <v>36</v>
      </c>
      <c r="E17" s="3" t="s">
        <v>52</v>
      </c>
      <c r="F17" s="3" t="s">
        <v>53</v>
      </c>
      <c r="G17" s="3">
        <v>2024</v>
      </c>
      <c r="H17" s="3" t="s">
        <v>43</v>
      </c>
      <c r="I17" s="3" t="s">
        <v>25</v>
      </c>
      <c r="J17" s="9">
        <v>6954.43</v>
      </c>
      <c r="K17" s="9">
        <v>1277.8499999999999</v>
      </c>
      <c r="L17" s="9">
        <v>8232.2800000000007</v>
      </c>
      <c r="M17" s="9">
        <v>66</v>
      </c>
      <c r="N17" s="3">
        <f>'Repair Timing'!D17</f>
        <v>19</v>
      </c>
      <c r="O17" s="3">
        <v>4</v>
      </c>
      <c r="P17" s="3" t="s">
        <v>26</v>
      </c>
      <c r="Q17" s="3" t="s">
        <v>27</v>
      </c>
      <c r="R17" s="3" t="s">
        <v>28</v>
      </c>
    </row>
    <row r="18" spans="1:18">
      <c r="A18" s="3" t="s">
        <v>62</v>
      </c>
      <c r="B18" s="6">
        <v>46218.424305555556</v>
      </c>
      <c r="C18" s="6">
        <v>46253.505555555559</v>
      </c>
      <c r="D18" s="3" t="s">
        <v>36</v>
      </c>
      <c r="E18" s="3" t="s">
        <v>52</v>
      </c>
      <c r="F18" s="3" t="s">
        <v>53</v>
      </c>
      <c r="G18" s="3">
        <v>2020</v>
      </c>
      <c r="H18" s="3" t="s">
        <v>31</v>
      </c>
      <c r="I18" s="3" t="s">
        <v>39</v>
      </c>
      <c r="J18" s="9">
        <v>7687.6</v>
      </c>
      <c r="K18" s="9">
        <v>1330.4</v>
      </c>
      <c r="L18" s="9">
        <v>9018</v>
      </c>
      <c r="M18" s="9">
        <v>90</v>
      </c>
      <c r="N18" s="3">
        <f>'Repair Timing'!D18</f>
        <v>15</v>
      </c>
      <c r="O18" s="3">
        <v>5</v>
      </c>
      <c r="P18" s="3" t="s">
        <v>26</v>
      </c>
      <c r="Q18" s="3" t="s">
        <v>27</v>
      </c>
      <c r="R18" s="3" t="s">
        <v>28</v>
      </c>
    </row>
    <row r="19" spans="1:18">
      <c r="A19" s="3" t="s">
        <v>63</v>
      </c>
      <c r="B19" s="6">
        <v>46221.961805555555</v>
      </c>
      <c r="C19" s="6">
        <v>46256.402083333334</v>
      </c>
      <c r="D19" s="3" t="s">
        <v>36</v>
      </c>
      <c r="E19" s="3" t="s">
        <v>52</v>
      </c>
      <c r="F19" s="3" t="s">
        <v>37</v>
      </c>
      <c r="G19" s="3">
        <v>2022</v>
      </c>
      <c r="H19" s="3" t="s">
        <v>64</v>
      </c>
      <c r="I19" s="3" t="s">
        <v>25</v>
      </c>
      <c r="J19" s="9">
        <v>8420.77</v>
      </c>
      <c r="K19" s="9">
        <v>524.75</v>
      </c>
      <c r="L19" s="9">
        <v>8945.52</v>
      </c>
      <c r="M19" s="9">
        <v>64</v>
      </c>
      <c r="N19" s="3">
        <f>'Repair Timing'!D19</f>
        <v>5</v>
      </c>
      <c r="O19" s="3">
        <v>2</v>
      </c>
      <c r="P19" s="3" t="s">
        <v>26</v>
      </c>
      <c r="Q19" s="3" t="s">
        <v>27</v>
      </c>
      <c r="R19" s="3" t="s">
        <v>28</v>
      </c>
    </row>
    <row r="20" spans="1:18">
      <c r="A20" s="3" t="s">
        <v>65</v>
      </c>
      <c r="B20" s="6">
        <v>46219.327777777777</v>
      </c>
      <c r="C20" s="6">
        <v>46255.724999999999</v>
      </c>
      <c r="D20" s="3" t="s">
        <v>36</v>
      </c>
      <c r="E20" s="3" t="s">
        <v>52</v>
      </c>
      <c r="F20" s="3" t="s">
        <v>53</v>
      </c>
      <c r="G20" s="3">
        <v>2023</v>
      </c>
      <c r="H20" s="3" t="s">
        <v>24</v>
      </c>
      <c r="I20" s="3" t="s">
        <v>39</v>
      </c>
      <c r="J20" s="9">
        <v>9153.0499999999993</v>
      </c>
      <c r="K20" s="9">
        <v>641.54999999999995</v>
      </c>
      <c r="L20" s="9">
        <v>9794.6</v>
      </c>
      <c r="M20" s="9">
        <v>66</v>
      </c>
      <c r="N20" s="3">
        <f>'Repair Timing'!D20</f>
        <v>18</v>
      </c>
      <c r="O20" s="3">
        <v>6</v>
      </c>
      <c r="P20" s="3" t="s">
        <v>26</v>
      </c>
      <c r="Q20" s="3" t="s">
        <v>27</v>
      </c>
      <c r="R20" s="3" t="s">
        <v>28</v>
      </c>
    </row>
    <row r="21" spans="1:18">
      <c r="A21" s="3" t="s">
        <v>66</v>
      </c>
      <c r="B21" s="6">
        <v>46223.609722222223</v>
      </c>
      <c r="C21" s="6">
        <v>46259.469444444447</v>
      </c>
      <c r="D21" s="3" t="s">
        <v>21</v>
      </c>
      <c r="E21" s="3" t="s">
        <v>52</v>
      </c>
      <c r="F21" s="3" t="s">
        <v>30</v>
      </c>
      <c r="G21" s="3">
        <v>2019</v>
      </c>
      <c r="H21" s="3" t="s">
        <v>38</v>
      </c>
      <c r="I21" s="3" t="s">
        <v>25</v>
      </c>
      <c r="J21" s="9">
        <v>3786.22</v>
      </c>
      <c r="K21" s="9">
        <v>1296.6500000000001</v>
      </c>
      <c r="L21" s="9">
        <v>5082.87</v>
      </c>
      <c r="M21" s="9">
        <v>125</v>
      </c>
      <c r="N21" s="3">
        <f>'Repair Timing'!D21</f>
        <v>9</v>
      </c>
      <c r="O21" s="3">
        <v>3</v>
      </c>
      <c r="P21" s="3" t="s">
        <v>26</v>
      </c>
      <c r="Q21" s="3" t="s">
        <v>27</v>
      </c>
      <c r="R21" s="3" t="s">
        <v>28</v>
      </c>
    </row>
    <row r="22" spans="1:18">
      <c r="A22" s="3" t="s">
        <v>67</v>
      </c>
      <c r="B22" s="6">
        <v>46222.886805555558</v>
      </c>
      <c r="C22" s="6">
        <v>46257.654861111114</v>
      </c>
      <c r="D22" s="3" t="s">
        <v>48</v>
      </c>
      <c r="E22" s="3" t="s">
        <v>52</v>
      </c>
      <c r="F22" s="3" t="s">
        <v>49</v>
      </c>
      <c r="G22" s="3">
        <v>2021</v>
      </c>
      <c r="H22" s="3" t="s">
        <v>34</v>
      </c>
      <c r="I22" s="3" t="s">
        <v>25</v>
      </c>
      <c r="J22" s="9">
        <v>4519.3900000000003</v>
      </c>
      <c r="K22" s="9">
        <v>965.1</v>
      </c>
      <c r="L22" s="9">
        <v>5484.49</v>
      </c>
      <c r="M22" s="9">
        <v>78</v>
      </c>
      <c r="N22" s="3">
        <f>'Repair Timing'!D22</f>
        <v>22</v>
      </c>
      <c r="O22" s="3">
        <v>4</v>
      </c>
      <c r="P22" s="3" t="s">
        <v>26</v>
      </c>
      <c r="Q22" s="3" t="s">
        <v>27</v>
      </c>
      <c r="R22" s="3" t="s">
        <v>28</v>
      </c>
    </row>
    <row r="23" spans="1:18">
      <c r="A23" s="3" t="s">
        <v>68</v>
      </c>
      <c r="B23" s="6">
        <v>46226.270138888889</v>
      </c>
      <c r="C23" s="6">
        <v>46261.352083333331</v>
      </c>
      <c r="D23" s="3" t="s">
        <v>36</v>
      </c>
      <c r="E23" s="3" t="s">
        <v>52</v>
      </c>
      <c r="F23" s="3" t="s">
        <v>53</v>
      </c>
      <c r="G23" s="3">
        <v>2020</v>
      </c>
      <c r="H23" s="3" t="s">
        <v>69</v>
      </c>
      <c r="I23" s="3" t="s">
        <v>39</v>
      </c>
      <c r="J23" s="9">
        <v>5963.75</v>
      </c>
      <c r="K23" s="9">
        <v>771.25</v>
      </c>
      <c r="L23" s="9">
        <v>6735</v>
      </c>
      <c r="M23" s="9">
        <v>73</v>
      </c>
      <c r="N23" s="3">
        <f>'Repair Timing'!D23</f>
        <v>12</v>
      </c>
      <c r="O23" s="3">
        <v>5</v>
      </c>
      <c r="P23" s="3" t="s">
        <v>26</v>
      </c>
      <c r="Q23" s="3" t="s">
        <v>27</v>
      </c>
      <c r="R23" s="3" t="s">
        <v>28</v>
      </c>
    </row>
    <row r="24" spans="1:18">
      <c r="A24" s="3" t="s">
        <v>70</v>
      </c>
      <c r="B24" s="6">
        <v>46224.530555555553</v>
      </c>
      <c r="C24" s="6">
        <v>46260.773611111108</v>
      </c>
      <c r="D24" s="3" t="s">
        <v>41</v>
      </c>
      <c r="E24" s="3" t="s">
        <v>71</v>
      </c>
      <c r="F24" s="3" t="s">
        <v>42</v>
      </c>
      <c r="G24" s="3">
        <v>2022</v>
      </c>
      <c r="H24" s="3" t="s">
        <v>50</v>
      </c>
      <c r="I24" s="3" t="s">
        <v>39</v>
      </c>
      <c r="J24" s="9">
        <v>5985.73</v>
      </c>
      <c r="K24" s="9">
        <v>1484</v>
      </c>
      <c r="L24" s="9">
        <v>7469.73</v>
      </c>
      <c r="M24" s="9">
        <v>80</v>
      </c>
      <c r="N24" s="3">
        <f>'Repair Timing'!D24</f>
        <v>7</v>
      </c>
      <c r="O24" s="3">
        <v>3</v>
      </c>
      <c r="P24" s="3" t="s">
        <v>26</v>
      </c>
      <c r="Q24" s="3" t="s">
        <v>27</v>
      </c>
      <c r="R24" s="3" t="s">
        <v>28</v>
      </c>
    </row>
    <row r="25" spans="1:18">
      <c r="A25" s="3" t="s">
        <v>72</v>
      </c>
      <c r="B25" s="6">
        <v>46225.74722222222</v>
      </c>
      <c r="C25" s="6">
        <v>46263.543055555558</v>
      </c>
      <c r="D25" s="3" t="s">
        <v>36</v>
      </c>
      <c r="E25" s="3" t="s">
        <v>71</v>
      </c>
      <c r="F25" s="3" t="s">
        <v>37</v>
      </c>
      <c r="G25" s="3">
        <v>2024</v>
      </c>
      <c r="H25" s="3" t="s">
        <v>24</v>
      </c>
      <c r="I25" s="3" t="s">
        <v>25</v>
      </c>
      <c r="J25" s="9">
        <v>6718.01</v>
      </c>
      <c r="K25" s="9">
        <v>440.45</v>
      </c>
      <c r="L25" s="9">
        <v>7158.46</v>
      </c>
      <c r="M25" s="9">
        <v>72</v>
      </c>
      <c r="N25" s="3">
        <f>'Repair Timing'!D25</f>
        <v>16</v>
      </c>
      <c r="O25" s="3">
        <v>2</v>
      </c>
      <c r="P25" s="3" t="s">
        <v>26</v>
      </c>
      <c r="Q25" s="3" t="s">
        <v>27</v>
      </c>
      <c r="R25" s="3" t="s">
        <v>28</v>
      </c>
    </row>
    <row r="26" spans="1:18">
      <c r="A26" s="3" t="s">
        <v>73</v>
      </c>
      <c r="B26" s="6">
        <v>46228.397916666669</v>
      </c>
      <c r="C26" s="6">
        <v>46262.454861111109</v>
      </c>
      <c r="D26" s="3" t="s">
        <v>21</v>
      </c>
      <c r="E26" s="3" t="s">
        <v>71</v>
      </c>
      <c r="F26" s="3" t="s">
        <v>23</v>
      </c>
      <c r="G26" s="3">
        <v>2018</v>
      </c>
      <c r="H26" s="3" t="s">
        <v>43</v>
      </c>
      <c r="I26" s="3" t="s">
        <v>25</v>
      </c>
      <c r="J26" s="9">
        <v>7451.18</v>
      </c>
      <c r="K26" s="9">
        <v>671.9</v>
      </c>
      <c r="L26" s="9">
        <v>8123.08</v>
      </c>
      <c r="M26" s="9">
        <v>68</v>
      </c>
      <c r="N26" s="3">
        <f>'Repair Timing'!D26</f>
        <v>11</v>
      </c>
      <c r="O26" s="3">
        <v>6</v>
      </c>
      <c r="P26" s="3" t="s">
        <v>26</v>
      </c>
      <c r="Q26" s="3" t="s">
        <v>27</v>
      </c>
      <c r="R26" s="3" t="s">
        <v>28</v>
      </c>
    </row>
    <row r="27" spans="1:18">
      <c r="A27" s="3" t="s">
        <v>74</v>
      </c>
      <c r="B27" s="6">
        <v>46227.836111111108</v>
      </c>
      <c r="C27" s="6">
        <v>46264.679166666669</v>
      </c>
      <c r="D27" s="3" t="s">
        <v>21</v>
      </c>
      <c r="E27" s="3" t="s">
        <v>71</v>
      </c>
      <c r="F27" s="3" t="s">
        <v>30</v>
      </c>
      <c r="G27" s="3">
        <v>2021</v>
      </c>
      <c r="H27" s="3" t="s">
        <v>55</v>
      </c>
      <c r="I27" s="3" t="s">
        <v>25</v>
      </c>
      <c r="J27" s="9">
        <v>8184.35</v>
      </c>
      <c r="K27" s="9">
        <v>639.9</v>
      </c>
      <c r="L27" s="9">
        <v>8824.25</v>
      </c>
      <c r="M27" s="9">
        <v>70</v>
      </c>
      <c r="N27" s="3">
        <f>'Repair Timing'!D27</f>
        <v>24</v>
      </c>
      <c r="O27" s="3">
        <v>4</v>
      </c>
      <c r="P27" s="3" t="s">
        <v>26</v>
      </c>
      <c r="Q27" s="3" t="s">
        <v>27</v>
      </c>
      <c r="R27" s="3" t="s">
        <v>28</v>
      </c>
    </row>
    <row r="28" spans="1:18">
      <c r="A28" s="3" t="s">
        <v>75</v>
      </c>
      <c r="B28" s="6">
        <v>46230.344444444447</v>
      </c>
      <c r="C28" s="6">
        <v>46236.531944444447</v>
      </c>
      <c r="D28" s="3" t="s">
        <v>36</v>
      </c>
      <c r="E28" s="3" t="s">
        <v>71</v>
      </c>
      <c r="F28" s="3" t="s">
        <v>53</v>
      </c>
      <c r="G28" s="3">
        <v>2023</v>
      </c>
      <c r="H28" s="3" t="s">
        <v>31</v>
      </c>
      <c r="I28" s="3" t="s">
        <v>39</v>
      </c>
      <c r="J28" s="9">
        <v>8917.52</v>
      </c>
      <c r="K28" s="9">
        <v>890.6</v>
      </c>
      <c r="L28" s="9">
        <v>9808.1200000000008</v>
      </c>
      <c r="M28" s="9">
        <v>74</v>
      </c>
      <c r="N28" s="3">
        <f>'Repair Timing'!D28</f>
        <v>4</v>
      </c>
      <c r="O28" s="3">
        <v>5</v>
      </c>
      <c r="P28" s="3" t="s">
        <v>26</v>
      </c>
      <c r="Q28" s="3" t="s">
        <v>27</v>
      </c>
      <c r="R28" s="3" t="s">
        <v>28</v>
      </c>
    </row>
    <row r="29" spans="1:18">
      <c r="A29" s="3" t="s">
        <v>76</v>
      </c>
      <c r="B29" s="6">
        <v>46229.65902777778</v>
      </c>
      <c r="C29" s="6">
        <v>46238.379861111112</v>
      </c>
      <c r="D29" s="3" t="s">
        <v>41</v>
      </c>
      <c r="E29" s="3" t="s">
        <v>71</v>
      </c>
      <c r="F29" s="3" t="s">
        <v>42</v>
      </c>
      <c r="G29" s="3">
        <v>2020</v>
      </c>
      <c r="H29" s="3" t="s">
        <v>46</v>
      </c>
      <c r="I29" s="3" t="s">
        <v>25</v>
      </c>
      <c r="J29" s="9">
        <v>3550.69</v>
      </c>
      <c r="K29" s="9">
        <v>1245.25</v>
      </c>
      <c r="L29" s="9">
        <v>4795.9399999999996</v>
      </c>
      <c r="M29" s="9">
        <v>114</v>
      </c>
      <c r="N29" s="3">
        <f>'Repair Timing'!D29</f>
        <v>6</v>
      </c>
      <c r="O29" s="3">
        <v>3</v>
      </c>
      <c r="P29" s="3" t="s">
        <v>26</v>
      </c>
      <c r="Q29" s="3" t="s">
        <v>27</v>
      </c>
      <c r="R29" s="3" t="s">
        <v>28</v>
      </c>
    </row>
    <row r="30" spans="1:18">
      <c r="A30" s="3" t="s">
        <v>77</v>
      </c>
      <c r="B30" s="6">
        <v>46231.972916666666</v>
      </c>
      <c r="C30" s="6">
        <v>46240.73541666667</v>
      </c>
      <c r="D30" s="3" t="s">
        <v>48</v>
      </c>
      <c r="E30" s="3" t="s">
        <v>78</v>
      </c>
      <c r="F30" s="3" t="s">
        <v>49</v>
      </c>
      <c r="G30" s="3">
        <v>2022</v>
      </c>
      <c r="H30" s="3" t="s">
        <v>34</v>
      </c>
      <c r="I30" s="3" t="s">
        <v>25</v>
      </c>
      <c r="J30" s="9">
        <v>4283.8599999999997</v>
      </c>
      <c r="K30" s="9">
        <v>1403.7</v>
      </c>
      <c r="L30" s="9">
        <v>5687.56</v>
      </c>
      <c r="M30" s="9">
        <v>84</v>
      </c>
      <c r="N30" s="3">
        <f>'Repair Timing'!D30</f>
        <v>7</v>
      </c>
      <c r="O30" s="3">
        <v>7</v>
      </c>
      <c r="P30" s="3" t="s">
        <v>26</v>
      </c>
      <c r="Q30" s="3" t="s">
        <v>27</v>
      </c>
      <c r="R30" s="3" t="s">
        <v>28</v>
      </c>
    </row>
    <row r="31" spans="1:18">
      <c r="A31" s="3" t="s">
        <v>79</v>
      </c>
      <c r="B31" s="6">
        <v>46232.27847222222</v>
      </c>
      <c r="C31" s="6">
        <v>46239.477777777778</v>
      </c>
      <c r="D31" s="3" t="s">
        <v>36</v>
      </c>
      <c r="E31" s="3" t="s">
        <v>78</v>
      </c>
      <c r="F31" s="3" t="s">
        <v>53</v>
      </c>
      <c r="G31" s="3">
        <v>2024</v>
      </c>
      <c r="H31" s="3" t="s">
        <v>59</v>
      </c>
      <c r="I31" s="3" t="s">
        <v>25</v>
      </c>
      <c r="J31" s="9">
        <v>5016.1400000000003</v>
      </c>
      <c r="K31" s="9">
        <v>624.9</v>
      </c>
      <c r="L31" s="9">
        <v>5641.04</v>
      </c>
      <c r="M31" s="9">
        <v>78</v>
      </c>
      <c r="N31" s="3">
        <f>'Repair Timing'!D31</f>
        <v>5</v>
      </c>
      <c r="O31" s="3">
        <v>2</v>
      </c>
      <c r="P31" s="3" t="s">
        <v>26</v>
      </c>
      <c r="Q31" s="3" t="s">
        <v>27</v>
      </c>
      <c r="R31" s="3" t="s">
        <v>28</v>
      </c>
    </row>
    <row r="32" spans="1:18">
      <c r="A32" s="3" t="s">
        <v>80</v>
      </c>
      <c r="B32" s="6">
        <v>46231.581944444442</v>
      </c>
      <c r="C32" s="6">
        <v>46241.619444444441</v>
      </c>
      <c r="D32" s="3" t="s">
        <v>48</v>
      </c>
      <c r="E32" s="3" t="s">
        <v>78</v>
      </c>
      <c r="F32" s="3" t="s">
        <v>58</v>
      </c>
      <c r="G32" s="3">
        <v>2019</v>
      </c>
      <c r="H32" s="3" t="s">
        <v>24</v>
      </c>
      <c r="I32" s="3" t="s">
        <v>25</v>
      </c>
      <c r="J32" s="9">
        <v>3980.6</v>
      </c>
      <c r="K32" s="9">
        <v>886</v>
      </c>
      <c r="L32" s="9">
        <v>4866.6000000000004</v>
      </c>
      <c r="M32" s="9">
        <v>76</v>
      </c>
      <c r="N32" s="3">
        <f>'Repair Timing'!D32</f>
        <v>8</v>
      </c>
      <c r="O32" s="3">
        <v>4</v>
      </c>
      <c r="P32" s="3" t="s">
        <v>60</v>
      </c>
      <c r="Q32" s="3" t="s">
        <v>27</v>
      </c>
      <c r="R32" s="3" t="s">
        <v>28</v>
      </c>
    </row>
    <row r="33" spans="1:18">
      <c r="A33" s="3" t="s">
        <v>81</v>
      </c>
      <c r="B33" s="6">
        <v>46233.775694444441</v>
      </c>
      <c r="C33" s="6">
        <v>46243.344444444447</v>
      </c>
      <c r="D33" s="3" t="s">
        <v>21</v>
      </c>
      <c r="E33" s="3" t="s">
        <v>78</v>
      </c>
      <c r="F33" s="3" t="s">
        <v>23</v>
      </c>
      <c r="G33" s="3">
        <v>2021</v>
      </c>
      <c r="H33" s="3" t="s">
        <v>38</v>
      </c>
      <c r="I33" s="3" t="s">
        <v>25</v>
      </c>
      <c r="J33" s="9">
        <v>6482.48</v>
      </c>
      <c r="K33" s="9">
        <v>821.05</v>
      </c>
      <c r="L33" s="9">
        <v>7303.53</v>
      </c>
      <c r="M33" s="9">
        <v>70</v>
      </c>
      <c r="N33" s="3">
        <f>'Repair Timing'!D33</f>
        <v>7</v>
      </c>
      <c r="O33" s="3">
        <v>6</v>
      </c>
      <c r="P33" s="3" t="s">
        <v>26</v>
      </c>
      <c r="Q33" s="3" t="s">
        <v>27</v>
      </c>
      <c r="R33" s="3" t="s">
        <v>28</v>
      </c>
    </row>
    <row r="34" spans="1:18">
      <c r="A34" s="3" t="s">
        <v>82</v>
      </c>
      <c r="B34" s="6">
        <v>46232.43472222222</v>
      </c>
      <c r="C34" s="6">
        <v>46242.76458333333</v>
      </c>
      <c r="D34" s="3" t="s">
        <v>36</v>
      </c>
      <c r="E34" s="3" t="s">
        <v>78</v>
      </c>
      <c r="F34" s="3" t="s">
        <v>53</v>
      </c>
      <c r="G34" s="3">
        <v>2023</v>
      </c>
      <c r="H34" s="3" t="s">
        <v>43</v>
      </c>
      <c r="I34" s="3" t="s">
        <v>39</v>
      </c>
      <c r="J34" s="9">
        <v>7215.65</v>
      </c>
      <c r="K34" s="9">
        <v>1235.3499999999999</v>
      </c>
      <c r="L34" s="9">
        <v>8451</v>
      </c>
      <c r="M34" s="9">
        <v>120</v>
      </c>
      <c r="N34" s="3">
        <f>'Repair Timing'!D34</f>
        <v>8</v>
      </c>
      <c r="O34" s="3">
        <v>3</v>
      </c>
      <c r="P34" s="3" t="s">
        <v>26</v>
      </c>
      <c r="Q34" s="3" t="s">
        <v>27</v>
      </c>
      <c r="R34" s="3" t="s">
        <v>28</v>
      </c>
    </row>
    <row r="35" spans="1:18">
      <c r="A35" s="3" t="s">
        <v>83</v>
      </c>
      <c r="B35" s="6">
        <v>46234.904861111114</v>
      </c>
      <c r="C35" s="6">
        <v>46244.572222222225</v>
      </c>
      <c r="D35" s="3" t="s">
        <v>21</v>
      </c>
      <c r="E35" s="3" t="s">
        <v>78</v>
      </c>
      <c r="F35" s="3" t="s">
        <v>30</v>
      </c>
      <c r="G35" s="3">
        <v>2020</v>
      </c>
      <c r="H35" s="3" t="s">
        <v>31</v>
      </c>
      <c r="I35" s="3" t="s">
        <v>25</v>
      </c>
      <c r="J35" s="9">
        <v>7948.82</v>
      </c>
      <c r="K35" s="9">
        <v>602.20000000000005</v>
      </c>
      <c r="L35" s="9">
        <v>8551.02</v>
      </c>
      <c r="M35" s="9">
        <v>68</v>
      </c>
      <c r="N35" s="3">
        <f>'Repair Timing'!D35</f>
        <v>8</v>
      </c>
      <c r="O35" s="3">
        <v>5</v>
      </c>
      <c r="P35" s="3" t="s">
        <v>26</v>
      </c>
      <c r="Q35" s="3" t="s">
        <v>27</v>
      </c>
      <c r="R35" s="3" t="s">
        <v>28</v>
      </c>
    </row>
    <row r="36" spans="1:18">
      <c r="A36" s="4" t="s">
        <v>84</v>
      </c>
      <c r="B36" s="7">
        <v>46233.29791666667</v>
      </c>
      <c r="C36" s="7">
        <v>46246.438888888886</v>
      </c>
      <c r="D36" s="4" t="s">
        <v>48</v>
      </c>
      <c r="E36" s="4" t="s">
        <v>78</v>
      </c>
      <c r="F36" s="4" t="s">
        <v>49</v>
      </c>
      <c r="G36" s="4">
        <v>2022</v>
      </c>
      <c r="H36" s="4" t="s">
        <v>50</v>
      </c>
      <c r="I36" s="4" t="s">
        <v>39</v>
      </c>
      <c r="J36" s="10">
        <v>8681.1</v>
      </c>
      <c r="K36" s="10">
        <v>1273.4000000000001</v>
      </c>
      <c r="L36" s="10">
        <v>9954.5</v>
      </c>
      <c r="M36" s="10">
        <v>78</v>
      </c>
      <c r="N36" s="4">
        <f>'Repair Timing'!D36</f>
        <v>10</v>
      </c>
      <c r="O36" s="4">
        <v>4</v>
      </c>
      <c r="P36" s="4" t="s">
        <v>26</v>
      </c>
      <c r="Q36" s="4" t="s">
        <v>27</v>
      </c>
      <c r="R36" s="4" t="s">
        <v>28</v>
      </c>
    </row>
  </sheetData>
  <mergeCells count="2">
    <mergeCell ref="A1:R1"/>
    <mergeCell ref="A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showGridLines="0" workbookViewId="0"/>
  </sheetViews>
  <sheetFormatPr defaultRowHeight="13.8"/>
  <cols>
    <col min="1" max="1" width="24" customWidth="1"/>
    <col min="2" max="3" width="30" customWidth="1"/>
    <col min="4" max="4" width="24" customWidth="1"/>
  </cols>
  <sheetData>
    <row r="1" spans="1:4" ht="28.95" customHeight="1">
      <c r="A1" s="19" t="s">
        <v>85</v>
      </c>
      <c r="B1" s="19"/>
      <c r="C1" s="19"/>
      <c r="D1" s="19"/>
    </row>
    <row r="2" spans="1:4" ht="37.950000000000003" customHeight="1">
      <c r="A2" s="20" t="s">
        <v>86</v>
      </c>
      <c r="B2" s="20"/>
      <c r="C2" s="20"/>
      <c r="D2" s="20"/>
    </row>
    <row r="4" spans="1:4" ht="31.05" customHeight="1">
      <c r="A4" s="1" t="s">
        <v>2</v>
      </c>
      <c r="B4" s="1" t="s">
        <v>87</v>
      </c>
      <c r="C4" s="1" t="s">
        <v>88</v>
      </c>
      <c r="D4" s="1" t="s">
        <v>15</v>
      </c>
    </row>
    <row r="5" spans="1:4">
      <c r="A5" s="2" t="s">
        <v>20</v>
      </c>
      <c r="B5" s="5">
        <v>46207.486111111109</v>
      </c>
      <c r="C5" s="5">
        <v>46215.6875</v>
      </c>
      <c r="D5" s="11">
        <f t="shared" ref="D5:D36" si="0">INT(C5)-INT(B5)</f>
        <v>8</v>
      </c>
    </row>
    <row r="6" spans="1:4">
      <c r="A6" s="3" t="s">
        <v>29</v>
      </c>
      <c r="B6" s="6">
        <v>46208.663194444445</v>
      </c>
      <c r="C6" s="6">
        <v>46220.590277777781</v>
      </c>
      <c r="D6" s="12">
        <f t="shared" si="0"/>
        <v>12</v>
      </c>
    </row>
    <row r="7" spans="1:4">
      <c r="A7" s="3" t="s">
        <v>32</v>
      </c>
      <c r="B7" s="6">
        <v>46210.006944444445</v>
      </c>
      <c r="C7" s="6">
        <v>46216.489583333336</v>
      </c>
      <c r="D7" s="12">
        <f t="shared" si="0"/>
        <v>6</v>
      </c>
    </row>
    <row r="8" spans="1:4">
      <c r="A8" s="3" t="s">
        <v>35</v>
      </c>
      <c r="B8" s="6">
        <v>46209.631944444445</v>
      </c>
      <c r="C8" s="6">
        <v>46226.722222222219</v>
      </c>
      <c r="D8" s="12">
        <f t="shared" si="0"/>
        <v>17</v>
      </c>
    </row>
    <row r="9" spans="1:4">
      <c r="A9" s="3" t="s">
        <v>40</v>
      </c>
      <c r="B9" s="6">
        <v>46212.638888888891</v>
      </c>
      <c r="C9" s="6">
        <v>46221.552083333336</v>
      </c>
      <c r="D9" s="12">
        <f t="shared" si="0"/>
        <v>9</v>
      </c>
    </row>
    <row r="10" spans="1:4">
      <c r="A10" s="3" t="s">
        <v>44</v>
      </c>
      <c r="B10" s="6">
        <v>46211.659722222219</v>
      </c>
      <c r="C10" s="6">
        <v>46225.670138888891</v>
      </c>
      <c r="D10" s="12">
        <f t="shared" si="0"/>
        <v>14</v>
      </c>
    </row>
    <row r="11" spans="1:4">
      <c r="A11" s="3" t="s">
        <v>45</v>
      </c>
      <c r="B11" s="6">
        <v>46215.399305555555</v>
      </c>
      <c r="C11" s="6">
        <v>46226.444444444445</v>
      </c>
      <c r="D11" s="12">
        <f t="shared" si="0"/>
        <v>11</v>
      </c>
    </row>
    <row r="12" spans="1:4">
      <c r="A12" s="3" t="s">
        <v>47</v>
      </c>
      <c r="B12" s="6">
        <v>46213.697916666664</v>
      </c>
      <c r="C12" s="6">
        <v>46234.642361111109</v>
      </c>
      <c r="D12" s="12">
        <f t="shared" si="0"/>
        <v>21</v>
      </c>
    </row>
    <row r="13" spans="1:4">
      <c r="A13" s="3" t="s">
        <v>51</v>
      </c>
      <c r="B13" s="6">
        <v>46216.524305555555</v>
      </c>
      <c r="C13" s="6">
        <v>46223.607638888891</v>
      </c>
      <c r="D13" s="12">
        <f t="shared" si="0"/>
        <v>7</v>
      </c>
    </row>
    <row r="14" spans="1:4">
      <c r="A14" s="3" t="s">
        <v>54</v>
      </c>
      <c r="B14" s="6">
        <v>46214.864583333336</v>
      </c>
      <c r="C14" s="6">
        <v>46230.715277777781</v>
      </c>
      <c r="D14" s="12">
        <f t="shared" si="0"/>
        <v>16</v>
      </c>
    </row>
    <row r="15" spans="1:4">
      <c r="A15" s="3" t="s">
        <v>56</v>
      </c>
      <c r="B15" s="6">
        <v>46217.680555555555</v>
      </c>
      <c r="C15" s="6">
        <v>46227.513888888891</v>
      </c>
      <c r="D15" s="12">
        <f t="shared" si="0"/>
        <v>10</v>
      </c>
    </row>
    <row r="16" spans="1:4">
      <c r="A16" s="3" t="s">
        <v>57</v>
      </c>
      <c r="B16" s="6">
        <v>46217.690972222219</v>
      </c>
      <c r="C16" s="6">
        <v>46230.697916666664</v>
      </c>
      <c r="D16" s="12">
        <f t="shared" si="0"/>
        <v>13</v>
      </c>
    </row>
    <row r="17" spans="1:4">
      <c r="A17" s="3" t="s">
        <v>61</v>
      </c>
      <c r="B17" s="6">
        <v>46221.600694444445</v>
      </c>
      <c r="C17" s="6">
        <v>46240.631944444445</v>
      </c>
      <c r="D17" s="12">
        <f t="shared" si="0"/>
        <v>19</v>
      </c>
    </row>
    <row r="18" spans="1:4">
      <c r="A18" s="3" t="s">
        <v>62</v>
      </c>
      <c r="B18" s="6">
        <v>46219.079861111109</v>
      </c>
      <c r="C18" s="6">
        <v>46234.479166666664</v>
      </c>
      <c r="D18" s="12">
        <f t="shared" si="0"/>
        <v>15</v>
      </c>
    </row>
    <row r="19" spans="1:4">
      <c r="A19" s="3" t="s">
        <v>63</v>
      </c>
      <c r="B19" s="6">
        <v>46222.704861111109</v>
      </c>
      <c r="C19" s="6">
        <v>46227.677083333336</v>
      </c>
      <c r="D19" s="12">
        <f t="shared" si="0"/>
        <v>5</v>
      </c>
    </row>
    <row r="20" spans="1:4">
      <c r="A20" s="3" t="s">
        <v>65</v>
      </c>
      <c r="B20" s="6">
        <v>46220.784722222219</v>
      </c>
      <c r="C20" s="6">
        <v>46238.576388888891</v>
      </c>
      <c r="D20" s="12">
        <f t="shared" si="0"/>
        <v>18</v>
      </c>
    </row>
    <row r="21" spans="1:4">
      <c r="A21" s="3" t="s">
        <v>66</v>
      </c>
      <c r="B21" s="6">
        <v>46224.690972222219</v>
      </c>
      <c r="C21" s="6">
        <v>46233.725694444445</v>
      </c>
      <c r="D21" s="12">
        <f t="shared" si="0"/>
        <v>9</v>
      </c>
    </row>
    <row r="22" spans="1:4">
      <c r="A22" s="3" t="s">
        <v>67</v>
      </c>
      <c r="B22" s="6">
        <v>46223.458333333336</v>
      </c>
      <c r="C22" s="6">
        <v>46245.611111111109</v>
      </c>
      <c r="D22" s="12">
        <f t="shared" si="0"/>
        <v>22</v>
      </c>
    </row>
    <row r="23" spans="1:4">
      <c r="A23" s="3" t="s">
        <v>68</v>
      </c>
      <c r="B23" s="6">
        <v>46227.246527777781</v>
      </c>
      <c r="C23" s="6">
        <v>46239.503472222219</v>
      </c>
      <c r="D23" s="12">
        <f t="shared" si="0"/>
        <v>12</v>
      </c>
    </row>
    <row r="24" spans="1:4">
      <c r="A24" s="3" t="s">
        <v>70</v>
      </c>
      <c r="B24" s="6">
        <v>46225.628472222219</v>
      </c>
      <c r="C24" s="6">
        <v>46232.690972222219</v>
      </c>
      <c r="D24" s="12">
        <f t="shared" si="0"/>
        <v>7</v>
      </c>
    </row>
    <row r="25" spans="1:4">
      <c r="A25" s="3" t="s">
        <v>72</v>
      </c>
      <c r="B25" s="6">
        <v>46226.927083333336</v>
      </c>
      <c r="C25" s="6">
        <v>46242.496527777781</v>
      </c>
      <c r="D25" s="12">
        <f t="shared" si="0"/>
        <v>16</v>
      </c>
    </row>
    <row r="26" spans="1:4">
      <c r="A26" s="3" t="s">
        <v>73</v>
      </c>
      <c r="B26" s="6">
        <v>46229.461805555555</v>
      </c>
      <c r="C26" s="6">
        <v>46240.65625</v>
      </c>
      <c r="D26" s="12">
        <f t="shared" si="0"/>
        <v>11</v>
      </c>
    </row>
    <row r="27" spans="1:4">
      <c r="A27" s="3" t="s">
        <v>74</v>
      </c>
      <c r="B27" s="6">
        <v>46228.746527777781</v>
      </c>
      <c r="C27" s="6">
        <v>46252.600694444445</v>
      </c>
      <c r="D27" s="12">
        <f t="shared" si="0"/>
        <v>24</v>
      </c>
    </row>
    <row r="28" spans="1:4">
      <c r="A28" s="3" t="s">
        <v>75</v>
      </c>
      <c r="B28" s="6">
        <v>46231.194444444445</v>
      </c>
      <c r="C28" s="6">
        <v>46235.680555555555</v>
      </c>
      <c r="D28" s="12">
        <f t="shared" si="0"/>
        <v>4</v>
      </c>
    </row>
    <row r="29" spans="1:4">
      <c r="A29" s="3" t="s">
        <v>76</v>
      </c>
      <c r="B29" s="6">
        <v>46230.729166666664</v>
      </c>
      <c r="C29" s="6">
        <v>46236.524305555555</v>
      </c>
      <c r="D29" s="12">
        <f t="shared" si="0"/>
        <v>6</v>
      </c>
    </row>
    <row r="30" spans="1:4">
      <c r="A30" s="3" t="s">
        <v>77</v>
      </c>
      <c r="B30" s="6">
        <v>46232.78125</v>
      </c>
      <c r="C30" s="6">
        <v>46239.642361111109</v>
      </c>
      <c r="D30" s="12">
        <f t="shared" si="0"/>
        <v>7</v>
      </c>
    </row>
    <row r="31" spans="1:4">
      <c r="A31" s="3" t="s">
        <v>79</v>
      </c>
      <c r="B31" s="6">
        <v>46233.524305555555</v>
      </c>
      <c r="C31" s="6">
        <v>46238.715277777781</v>
      </c>
      <c r="D31" s="12">
        <f t="shared" si="0"/>
        <v>5</v>
      </c>
    </row>
    <row r="32" spans="1:4">
      <c r="A32" s="3" t="s">
        <v>80</v>
      </c>
      <c r="B32" s="6">
        <v>46232.027777777781</v>
      </c>
      <c r="C32" s="6">
        <v>46240.569444444445</v>
      </c>
      <c r="D32" s="12">
        <f t="shared" si="0"/>
        <v>8</v>
      </c>
    </row>
    <row r="33" spans="1:4">
      <c r="A33" s="3" t="s">
        <v>81</v>
      </c>
      <c r="B33" s="6">
        <v>46234.572916666664</v>
      </c>
      <c r="C33" s="6">
        <v>46241.59375</v>
      </c>
      <c r="D33" s="12">
        <f t="shared" si="0"/>
        <v>7</v>
      </c>
    </row>
    <row r="34" spans="1:4">
      <c r="A34" s="3" t="s">
        <v>82</v>
      </c>
      <c r="B34" s="6">
        <v>46233.125</v>
      </c>
      <c r="C34" s="6">
        <v>46241.697916666664</v>
      </c>
      <c r="D34" s="12">
        <f t="shared" si="0"/>
        <v>8</v>
      </c>
    </row>
    <row r="35" spans="1:4">
      <c r="A35" s="3" t="s">
        <v>83</v>
      </c>
      <c r="B35" s="6">
        <v>46235.493055555555</v>
      </c>
      <c r="C35" s="6">
        <v>46243.472222222219</v>
      </c>
      <c r="D35" s="12">
        <f t="shared" si="0"/>
        <v>8</v>
      </c>
    </row>
    <row r="36" spans="1:4">
      <c r="A36" s="4" t="s">
        <v>84</v>
      </c>
      <c r="B36" s="7">
        <v>46234.826388888891</v>
      </c>
      <c r="C36" s="7">
        <v>46244.618055555555</v>
      </c>
      <c r="D36" s="13">
        <f t="shared" si="0"/>
        <v>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3.8"/>
  <cols>
    <col min="1" max="1" width="25" customWidth="1"/>
    <col min="2" max="3" width="46" customWidth="1"/>
    <col min="4" max="4" width="52" customWidth="1"/>
  </cols>
  <sheetData>
    <row r="1" spans="1:4" ht="28.95" customHeight="1">
      <c r="A1" s="19" t="s">
        <v>89</v>
      </c>
      <c r="B1" s="19"/>
      <c r="C1" s="19"/>
      <c r="D1" s="19"/>
    </row>
    <row r="2" spans="1:4" ht="25.05" customHeight="1">
      <c r="A2" s="20" t="s">
        <v>90</v>
      </c>
      <c r="B2" s="20"/>
      <c r="C2" s="20"/>
      <c r="D2" s="20"/>
    </row>
    <row r="4" spans="1:4" ht="31.05" customHeight="1">
      <c r="A4" s="1" t="s">
        <v>91</v>
      </c>
      <c r="B4" s="1" t="s">
        <v>92</v>
      </c>
      <c r="C4" s="1" t="s">
        <v>93</v>
      </c>
      <c r="D4" s="1" t="s">
        <v>94</v>
      </c>
    </row>
    <row r="5" spans="1:4" ht="43.05" customHeight="1">
      <c r="A5" s="2" t="s">
        <v>11</v>
      </c>
      <c r="B5" s="14" t="s">
        <v>95</v>
      </c>
      <c r="C5" s="14" t="s">
        <v>96</v>
      </c>
      <c r="D5" s="14" t="s">
        <v>97</v>
      </c>
    </row>
    <row r="6" spans="1:4" ht="43.05" customHeight="1">
      <c r="A6" s="3" t="s">
        <v>12</v>
      </c>
      <c r="B6" s="15" t="s">
        <v>98</v>
      </c>
      <c r="C6" s="15" t="s">
        <v>99</v>
      </c>
      <c r="D6" s="15" t="s">
        <v>100</v>
      </c>
    </row>
    <row r="7" spans="1:4" ht="43.05" customHeight="1">
      <c r="A7" s="3" t="s">
        <v>13</v>
      </c>
      <c r="B7" s="15" t="s">
        <v>101</v>
      </c>
      <c r="C7" s="15" t="s">
        <v>102</v>
      </c>
      <c r="D7" s="15" t="s">
        <v>103</v>
      </c>
    </row>
    <row r="8" spans="1:4" ht="43.05" customHeight="1">
      <c r="A8" s="3" t="s">
        <v>14</v>
      </c>
      <c r="B8" s="15" t="s">
        <v>104</v>
      </c>
      <c r="C8" s="15" t="s">
        <v>105</v>
      </c>
      <c r="D8" s="15" t="s">
        <v>106</v>
      </c>
    </row>
    <row r="9" spans="1:4" ht="43.05" customHeight="1">
      <c r="A9" s="3" t="s">
        <v>15</v>
      </c>
      <c r="B9" s="15" t="s">
        <v>107</v>
      </c>
      <c r="C9" s="15" t="s">
        <v>108</v>
      </c>
      <c r="D9" s="15" t="s">
        <v>109</v>
      </c>
    </row>
    <row r="10" spans="1:4" ht="43.05" customHeight="1">
      <c r="A10" s="3" t="s">
        <v>16</v>
      </c>
      <c r="B10" s="15" t="s">
        <v>110</v>
      </c>
      <c r="C10" s="15" t="s">
        <v>111</v>
      </c>
      <c r="D10" s="15" t="s">
        <v>112</v>
      </c>
    </row>
    <row r="11" spans="1:4" ht="43.05" customHeight="1">
      <c r="A11" s="3" t="s">
        <v>17</v>
      </c>
      <c r="B11" s="15" t="s">
        <v>113</v>
      </c>
      <c r="C11" s="15" t="s">
        <v>114</v>
      </c>
      <c r="D11" s="15" t="s">
        <v>115</v>
      </c>
    </row>
    <row r="12" spans="1:4" ht="43.05" customHeight="1">
      <c r="A12" s="3" t="s">
        <v>18</v>
      </c>
      <c r="B12" s="15" t="s">
        <v>116</v>
      </c>
      <c r="C12" s="15" t="s">
        <v>117</v>
      </c>
      <c r="D12" s="15" t="s">
        <v>118</v>
      </c>
    </row>
    <row r="13" spans="1:4" ht="43.05" customHeight="1">
      <c r="A13" s="4" t="s">
        <v>19</v>
      </c>
      <c r="B13" s="16" t="s">
        <v>119</v>
      </c>
      <c r="C13" s="16" t="s">
        <v>120</v>
      </c>
      <c r="D13" s="16" t="s">
        <v>121</v>
      </c>
    </row>
    <row r="14" spans="1:4" ht="43.05" customHeight="1">
      <c r="A14" s="17" t="s">
        <v>122</v>
      </c>
      <c r="B14" s="18" t="s">
        <v>123</v>
      </c>
      <c r="C14" s="18" t="s">
        <v>124</v>
      </c>
      <c r="D14" s="18" t="s">
        <v>125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 Claims</vt:lpstr>
      <vt:lpstr>Repair Timing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2026-09-03T04:54:46Z</dcterms:created>
  <dcterms:modified xsi:type="dcterms:W3CDTF">2026-09-03T04:54:46Z</dcterms:modified>
</cp:coreProperties>
</file>