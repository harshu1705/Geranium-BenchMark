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geranium project\Task3\FIXED_inputs\"/>
    </mc:Choice>
  </mc:AlternateContent>
  <bookViews>
    <workbookView xWindow="0" yWindow="0" windowWidth="23040" windowHeight="11292"/>
  </bookViews>
  <sheets>
    <sheet name="Loss Rates" sheetId="1" r:id="rId1"/>
    <sheet name="Reserve Assumptions" sheetId="2" r:id="rId2"/>
    <sheet name="Historical Loss Rate Trend (8Q)" sheetId="3" r:id="rId3"/>
    <sheet name="Methodology Notes" sheetId="4" r:id="rId4"/>
  </sheets>
  <calcPr calcId="152511"/>
</workbook>
</file>

<file path=xl/calcChain.xml><?xml version="1.0" encoding="utf-8"?>
<calcChain xmlns="http://schemas.openxmlformats.org/spreadsheetml/2006/main">
  <c r="J6" i="3" l="1"/>
  <c r="J5" i="3"/>
  <c r="J4" i="3"/>
  <c r="J3" i="3"/>
  <c r="J2" i="3"/>
</calcChain>
</file>

<file path=xl/sharedStrings.xml><?xml version="1.0" encoding="utf-8"?>
<sst xmlns="http://schemas.openxmlformats.org/spreadsheetml/2006/main" count="50" uniqueCount="49">
  <si>
    <t>Internal Risk Rating</t>
  </si>
  <si>
    <t>Historical Loss Rate (%)</t>
  </si>
  <si>
    <t>Notes</t>
  </si>
  <si>
    <t>Minimal Risk pool</t>
  </si>
  <si>
    <t>Acceptable Risk pool</t>
  </si>
  <si>
    <t>Moderate Risk pool</t>
  </si>
  <si>
    <t>Watch pool</t>
  </si>
  <si>
    <t>Special Mention pool</t>
  </si>
  <si>
    <t>Not pooled - individually evaluated per Policy Section 4</t>
  </si>
  <si>
    <t>Assumption</t>
  </si>
  <si>
    <t>Value</t>
  </si>
  <si>
    <t>Source</t>
  </si>
  <si>
    <t>Estimated Disposition Cost</t>
  </si>
  <si>
    <t>Finance Department - collateral liquidation cost study, FY2025</t>
  </si>
  <si>
    <t>Q-Factor Add-On for Breaching Pools</t>
  </si>
  <si>
    <t>Policy Section 5</t>
  </si>
  <si>
    <t>Currently Booked ALLL Balance ($)</t>
  </si>
  <si>
    <t>General Ledger account 1720, balance as of 12/31/2025</t>
  </si>
  <si>
    <t>Reserve Adequacy Tolerance Band</t>
  </si>
  <si>
    <t>Policy Section 6 - +/-10% of required reserve</t>
  </si>
  <si>
    <t>2024-Q1</t>
  </si>
  <si>
    <t>2024-Q2</t>
  </si>
  <si>
    <t>2024-Q3</t>
  </si>
  <si>
    <t>2024-Q4</t>
  </si>
  <si>
    <t>2025-Q1</t>
  </si>
  <si>
    <t>2025-Q2</t>
  </si>
  <si>
    <t>2025-Q3</t>
  </si>
  <si>
    <t>2025-Q4 (Current)</t>
  </si>
  <si>
    <t>8-Qtr Average</t>
  </si>
  <si>
    <t>Note: Rating 6 is excluded from pooled trending because Rating-6 loans are always individually evaluated under Policy Section 4 and never carry a pooled historical loss rate.</t>
  </si>
  <si>
    <t>Current-quarter rates in the 'Loss Rates' tab reflect the 2025-Q4 column above and are refreshed quarterly by the Finance Department credit risk modeling team.</t>
  </si>
  <si>
    <t>Item</t>
  </si>
  <si>
    <t>Detail</t>
  </si>
  <si>
    <t>Loss rate derivation</t>
  </si>
  <si>
    <t>12-quarter rolling historical charge-off rate by Internal Risk Rating, calculated by Finance Department credit modeling, refreshed quarterly.</t>
  </si>
  <si>
    <t>Pooling basis</t>
  </si>
  <si>
    <t>Pooled by Internal Risk Rating per Policy Section 3; ratings share similar risk characteristics (collateral type, payment history, financial trend) validated annually by the Model Risk Committee.</t>
  </si>
  <si>
    <t>Disposition cost basis</t>
  </si>
  <si>
    <t>10% estimate derived from FY2025 collateral liquidation cost study covering auction, legal, and holding costs on foreclosed commercial collateral.</t>
  </si>
  <si>
    <t>Q-Factor basis</t>
  </si>
  <si>
    <t>25bps add-on reflects emerging risk in a pool from an active, uncured covenant breach not yet captured in historical loss experience; approved per Policy Section 5.</t>
  </si>
  <si>
    <t>Booked ALLL balance source</t>
  </si>
  <si>
    <t>General Ledger account 1720, quarter-end trial balance as of 12/31/2025.</t>
  </si>
  <si>
    <t>Tolerance band basis</t>
  </si>
  <si>
    <t>Board-approved +/-10% band per Policy Section 6, consistent with regulatory guidance on CECL reserve estimation uncertainty.</t>
  </si>
  <si>
    <t>Model validation</t>
  </si>
  <si>
    <t>Loss rate model last independently validated by internal audit Q3 2025; next validation scheduled Q3 2026.</t>
  </si>
  <si>
    <t>Data refresh cycle</t>
  </si>
  <si>
    <t>Loss rates, disposition cost, and booked balance are refreshed each quarter-end prior to the ALLL Reserve Adequacy Memorandum being drafted.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</si>
</sst>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0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4" customWidth="1"/>
    <col min="3" max="3" width="30" customWidth="1"/>
  </cols>
  <sheetData>
    <row r="1" spans="1:3" ht="31.9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1E-3</v>
      </c>
      <c r="C2" t="s">
        <v>3</v>
      </c>
    </row>
    <row r="3" spans="1:3" x14ac:dyDescent="0.3">
      <c r="A3">
        <v>2</v>
      </c>
      <c r="B3" s="2">
        <v>3.5000000000000001E-3</v>
      </c>
      <c r="C3" t="s">
        <v>4</v>
      </c>
    </row>
    <row r="4" spans="1:3" x14ac:dyDescent="0.3">
      <c r="A4">
        <v>3</v>
      </c>
      <c r="B4" s="2">
        <v>8.9999999999999993E-3</v>
      </c>
      <c r="C4" t="s">
        <v>5</v>
      </c>
    </row>
    <row r="5" spans="1:3" x14ac:dyDescent="0.3">
      <c r="A5">
        <v>4</v>
      </c>
      <c r="B5" s="2">
        <v>3.2500000000000001E-2</v>
      </c>
      <c r="C5" t="s">
        <v>6</v>
      </c>
    </row>
    <row r="6" spans="1:3" x14ac:dyDescent="0.3">
      <c r="A6">
        <v>5</v>
      </c>
      <c r="B6" s="2">
        <v>9.5000000000000001E-2</v>
      </c>
      <c r="C6" t="s">
        <v>7</v>
      </c>
    </row>
    <row r="7" spans="1:3" x14ac:dyDescent="0.3">
      <c r="A7">
        <v>6</v>
      </c>
      <c r="C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6" customWidth="1"/>
    <col min="3" max="3" width="46" customWidth="1"/>
  </cols>
  <sheetData>
    <row r="1" spans="1:3" ht="31.95" customHeight="1" x14ac:dyDescent="0.3">
      <c r="A1" s="1" t="s">
        <v>9</v>
      </c>
      <c r="B1" s="1" t="s">
        <v>10</v>
      </c>
      <c r="C1" s="1" t="s">
        <v>11</v>
      </c>
    </row>
    <row r="2" spans="1:3" x14ac:dyDescent="0.3">
      <c r="A2" t="s">
        <v>12</v>
      </c>
      <c r="B2" s="3">
        <v>0.1</v>
      </c>
      <c r="C2" t="s">
        <v>13</v>
      </c>
    </row>
    <row r="3" spans="1:3" x14ac:dyDescent="0.3">
      <c r="A3" t="s">
        <v>14</v>
      </c>
      <c r="B3" s="2">
        <v>2.5000000000000001E-3</v>
      </c>
      <c r="C3" t="s">
        <v>15</v>
      </c>
    </row>
    <row r="4" spans="1:3" x14ac:dyDescent="0.3">
      <c r="A4" t="s">
        <v>16</v>
      </c>
      <c r="B4" s="4">
        <v>1250000</v>
      </c>
      <c r="C4" t="s">
        <v>17</v>
      </c>
    </row>
    <row r="5" spans="1:3" x14ac:dyDescent="0.3">
      <c r="A5" t="s">
        <v>18</v>
      </c>
      <c r="B5" s="3">
        <v>0.1</v>
      </c>
      <c r="C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9" width="11" customWidth="1"/>
    <col min="10" max="10" width="14" customWidth="1"/>
  </cols>
  <sheetData>
    <row r="1" spans="1:10" ht="31.95" customHeight="1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3">
      <c r="A2">
        <v>1</v>
      </c>
      <c r="B2" s="2">
        <v>8.9999999999999998E-4</v>
      </c>
      <c r="C2" s="2">
        <v>1.1000000000000001E-3</v>
      </c>
      <c r="D2" s="2">
        <v>1E-3</v>
      </c>
      <c r="E2" s="2">
        <v>8.0000000000000004E-4</v>
      </c>
      <c r="F2" s="2">
        <v>1E-3</v>
      </c>
      <c r="G2" s="2">
        <v>8.9999999999999998E-4</v>
      </c>
      <c r="H2" s="2">
        <v>1.1000000000000001E-3</v>
      </c>
      <c r="I2" s="2">
        <v>1E-3</v>
      </c>
      <c r="J2" s="2">
        <f>AVERAGE(B2:I2)</f>
        <v>9.7500000000000006E-4</v>
      </c>
    </row>
    <row r="3" spans="1:10" x14ac:dyDescent="0.3">
      <c r="A3">
        <v>2</v>
      </c>
      <c r="B3" s="2">
        <v>3.3E-3</v>
      </c>
      <c r="C3" s="2">
        <v>3.8E-3</v>
      </c>
      <c r="D3" s="2">
        <v>3.5999999999999999E-3</v>
      </c>
      <c r="E3" s="2">
        <v>3.2000000000000002E-3</v>
      </c>
      <c r="F3" s="2">
        <v>3.7000000000000002E-3</v>
      </c>
      <c r="G3" s="2">
        <v>3.3999999999999998E-3</v>
      </c>
      <c r="H3" s="2">
        <v>3.5000000000000001E-3</v>
      </c>
      <c r="I3" s="2">
        <v>3.5000000000000001E-3</v>
      </c>
      <c r="J3" s="2">
        <f>AVERAGE(B3:I3)</f>
        <v>3.5000000000000001E-3</v>
      </c>
    </row>
    <row r="4" spans="1:10" x14ac:dyDescent="0.3">
      <c r="A4">
        <v>3</v>
      </c>
      <c r="B4" s="2">
        <v>8.0999999999999996E-3</v>
      </c>
      <c r="C4" s="2">
        <v>9.4999999999999998E-3</v>
      </c>
      <c r="D4" s="2">
        <v>8.8000000000000005E-3</v>
      </c>
      <c r="E4" s="2">
        <v>7.9000000000000008E-3</v>
      </c>
      <c r="F4" s="2">
        <v>9.1999999999999998E-3</v>
      </c>
      <c r="G4" s="2">
        <v>8.6E-3</v>
      </c>
      <c r="H4" s="2">
        <v>8.9999999999999993E-3</v>
      </c>
      <c r="I4" s="2">
        <v>8.9999999999999993E-3</v>
      </c>
      <c r="J4" s="2">
        <f>AVERAGE(B4:I4)</f>
        <v>8.7624999999999995E-3</v>
      </c>
    </row>
    <row r="5" spans="1:10" x14ac:dyDescent="0.3">
      <c r="A5">
        <v>4</v>
      </c>
      <c r="B5" s="2">
        <v>2.98E-2</v>
      </c>
      <c r="C5" s="2">
        <v>3.4099999999999998E-2</v>
      </c>
      <c r="D5" s="2">
        <v>3.1199999999999999E-2</v>
      </c>
      <c r="E5" s="2">
        <v>2.8899999999999999E-2</v>
      </c>
      <c r="F5" s="2">
        <v>3.3500000000000002E-2</v>
      </c>
      <c r="G5" s="2">
        <v>3.0800000000000001E-2</v>
      </c>
      <c r="H5" s="2">
        <v>3.27E-2</v>
      </c>
      <c r="I5" s="2">
        <v>3.2500000000000001E-2</v>
      </c>
      <c r="J5" s="2">
        <f>AVERAGE(B5:I5)</f>
        <v>3.1687499999999993E-2</v>
      </c>
    </row>
    <row r="6" spans="1:10" x14ac:dyDescent="0.3">
      <c r="A6">
        <v>5</v>
      </c>
      <c r="B6" s="2">
        <v>8.72E-2</v>
      </c>
      <c r="C6" s="2">
        <v>9.8500000000000004E-2</v>
      </c>
      <c r="D6" s="2">
        <v>9.1800000000000007E-2</v>
      </c>
      <c r="E6" s="2">
        <v>8.4599999999999995E-2</v>
      </c>
      <c r="F6" s="2">
        <v>9.6100000000000005E-2</v>
      </c>
      <c r="G6" s="2">
        <v>9.0300000000000005E-2</v>
      </c>
      <c r="H6" s="2">
        <v>9.4700000000000006E-2</v>
      </c>
      <c r="I6" s="2">
        <v>9.5000000000000001E-2</v>
      </c>
      <c r="J6" s="2">
        <f>AVERAGE(B6:I6)</f>
        <v>9.227500000000001E-2</v>
      </c>
    </row>
    <row r="7" spans="1:10" x14ac:dyDescent="0.3">
      <c r="A7" t="s">
        <v>29</v>
      </c>
    </row>
    <row r="8" spans="1:10" x14ac:dyDescent="0.3">
      <c r="A8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70" customWidth="1"/>
  </cols>
  <sheetData>
    <row r="1" spans="1:2" ht="31.95" customHeight="1" x14ac:dyDescent="0.3">
      <c r="A1" s="1" t="s">
        <v>31</v>
      </c>
      <c r="B1" s="1" t="s">
        <v>32</v>
      </c>
    </row>
    <row r="2" spans="1:2" ht="28.8" x14ac:dyDescent="0.3">
      <c r="A2" s="5" t="s">
        <v>33</v>
      </c>
      <c r="B2" s="5" t="s">
        <v>34</v>
      </c>
    </row>
    <row r="3" spans="1:2" ht="43.2" x14ac:dyDescent="0.3">
      <c r="A3" s="5" t="s">
        <v>35</v>
      </c>
      <c r="B3" s="5" t="s">
        <v>36</v>
      </c>
    </row>
    <row r="4" spans="1:2" ht="28.8" x14ac:dyDescent="0.3">
      <c r="A4" s="5" t="s">
        <v>37</v>
      </c>
      <c r="B4" s="5" t="s">
        <v>38</v>
      </c>
    </row>
    <row r="5" spans="1:2" ht="43.2" x14ac:dyDescent="0.3">
      <c r="A5" s="5" t="s">
        <v>39</v>
      </c>
      <c r="B5" s="5" t="s">
        <v>40</v>
      </c>
    </row>
    <row r="6" spans="1:2" x14ac:dyDescent="0.3">
      <c r="A6" s="5" t="s">
        <v>41</v>
      </c>
      <c r="B6" s="5" t="s">
        <v>42</v>
      </c>
    </row>
    <row r="7" spans="1:2" ht="28.8" x14ac:dyDescent="0.3">
      <c r="A7" s="5" t="s">
        <v>43</v>
      </c>
      <c r="B7" s="5" t="s">
        <v>44</v>
      </c>
    </row>
    <row r="8" spans="1:2" ht="28.8" x14ac:dyDescent="0.3">
      <c r="A8" s="5" t="s">
        <v>45</v>
      </c>
      <c r="B8" s="5" t="s">
        <v>46</v>
      </c>
    </row>
    <row r="9" spans="1:2" ht="28.8" x14ac:dyDescent="0.3">
      <c r="A9" s="5" t="s">
        <v>47</v>
      </c>
      <c r="B9" s="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Loss Rates</vt:lpstr>
      <vt:lpstr>Reserve Assumptions</vt:lpstr>
      <vt:lpstr>Historical Loss Rate Trend (8Q)</vt:lpstr>
      <vt:lpstr>Methodology 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2026-09-09T18:21:27Z</dcterms:created>
  <dcterms:modified xsi:type="dcterms:W3CDTF">2026-09-12T11:46:43Z</dcterms:modified>
</cp:coreProperties>
</file>