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NovaMart_extracted\Inputs\"/>
    </mc:Choice>
  </mc:AlternateContent>
  <bookViews>
    <workbookView xWindow="0" yWindow="0" windowWidth="23040" windowHeight="11292"/>
  </bookViews>
  <sheets>
    <sheet name="Financials" sheetId="1" r:id="rId1"/>
  </sheets>
  <calcPr calcId="152511"/>
</workbook>
</file>

<file path=xl/calcChain.xml><?xml version="1.0" encoding="utf-8"?>
<calcChain xmlns="http://schemas.openxmlformats.org/spreadsheetml/2006/main">
  <c r="E26" i="1" l="1"/>
  <c r="D26" i="1"/>
  <c r="C26" i="1"/>
  <c r="B26" i="1"/>
  <c r="E25" i="1"/>
  <c r="D25" i="1"/>
  <c r="C25" i="1"/>
  <c r="E22" i="1"/>
  <c r="D22" i="1"/>
  <c r="C22" i="1"/>
  <c r="B22" i="1"/>
  <c r="E15" i="1"/>
  <c r="D15" i="1"/>
  <c r="C15" i="1"/>
  <c r="B15" i="1"/>
  <c r="E4" i="1"/>
  <c r="E6" i="1" s="1"/>
  <c r="D4" i="1"/>
  <c r="D6" i="1" s="1"/>
  <c r="C4" i="1"/>
  <c r="C6" i="1" s="1"/>
  <c r="B4" i="1"/>
  <c r="B6" i="1" s="1"/>
  <c r="B9" i="1" l="1"/>
  <c r="B11" i="1" s="1"/>
  <c r="B23" i="1"/>
  <c r="C9" i="1"/>
  <c r="C11" i="1" s="1"/>
  <c r="C23" i="1"/>
  <c r="D23" i="1"/>
  <c r="D9" i="1"/>
  <c r="D11" i="1" s="1"/>
  <c r="E9" i="1"/>
  <c r="E11" i="1" s="1"/>
  <c r="E23" i="1"/>
  <c r="E27" i="1" l="1"/>
  <c r="E24" i="1"/>
  <c r="D24" i="1"/>
  <c r="D27" i="1"/>
  <c r="C24" i="1"/>
  <c r="C27" i="1"/>
  <c r="B24" i="1"/>
  <c r="B27" i="1"/>
</calcChain>
</file>

<file path=xl/sharedStrings.xml><?xml version="1.0" encoding="utf-8"?>
<sst xmlns="http://schemas.openxmlformats.org/spreadsheetml/2006/main" count="38" uniqueCount="29">
  <si>
    <t>Metric</t>
  </si>
  <si>
    <t>FY 2023</t>
  </si>
  <si>
    <t>FY 2024</t>
  </si>
  <si>
    <t>FY 2025</t>
  </si>
  <si>
    <t>TTM (Trailing 12 Months)</t>
  </si>
  <si>
    <t>Gross Revenue</t>
  </si>
  <si>
    <t>Cost of Goods Sold (COGS)</t>
  </si>
  <si>
    <t>Gross Profit</t>
  </si>
  <si>
    <t>Operating Expenses (SG&amp;A)</t>
  </si>
  <si>
    <t>EBITDA</t>
  </si>
  <si>
    <t>Depreciation &amp; Amortization</t>
  </si>
  <si>
    <t>Interest Expense</t>
  </si>
  <si>
    <t>Pre-Tax Income</t>
  </si>
  <si>
    <t>Income Tax Expense</t>
  </si>
  <si>
    <t>Net Income</t>
  </si>
  <si>
    <t>-</t>
  </si>
  <si>
    <t>Current Assets</t>
  </si>
  <si>
    <t>Current Liabilities</t>
  </si>
  <si>
    <t>Current Ratio</t>
  </si>
  <si>
    <t>Total Assets</t>
  </si>
  <si>
    <t>Total Debt</t>
  </si>
  <si>
    <t>Total Equity</t>
  </si>
  <si>
    <t>Ratios &amp; Supplemental Metrics</t>
  </si>
  <si>
    <t>Working Capital</t>
  </si>
  <si>
    <t>EBITDA Margin %</t>
  </si>
  <si>
    <t>Net Income Margin %</t>
  </si>
  <si>
    <t>Revenue YoY Growth %</t>
  </si>
  <si>
    <t>Debt-to-Equity Ratio</t>
  </si>
  <si>
    <t>Return on Equity (ROE)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</si>
</sst>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410000000</v>
      </c>
      <c r="C2">
        <v>453500000</v>
      </c>
      <c r="D2">
        <v>478100000</v>
      </c>
      <c r="E2">
        <v>502400000</v>
      </c>
    </row>
    <row r="3" spans="1:5" x14ac:dyDescent="0.3">
      <c r="A3" t="s">
        <v>6</v>
      </c>
      <c r="B3">
        <v>280000000</v>
      </c>
      <c r="C3">
        <v>309200000</v>
      </c>
      <c r="D3">
        <v>324300000</v>
      </c>
      <c r="E3">
        <v>341100000</v>
      </c>
    </row>
    <row r="4" spans="1:5" x14ac:dyDescent="0.3">
      <c r="A4" t="s">
        <v>7</v>
      </c>
      <c r="B4">
        <f>B2-B3</f>
        <v>130000000</v>
      </c>
      <c r="C4">
        <f>C2-C3</f>
        <v>144300000</v>
      </c>
      <c r="D4">
        <f>D2-D3</f>
        <v>153800000</v>
      </c>
      <c r="E4">
        <f>E2-E3</f>
        <v>161300000</v>
      </c>
    </row>
    <row r="5" spans="1:5" x14ac:dyDescent="0.3">
      <c r="A5" t="s">
        <v>8</v>
      </c>
      <c r="B5">
        <v>110000000</v>
      </c>
      <c r="C5">
        <v>119400000</v>
      </c>
      <c r="D5">
        <v>134200000</v>
      </c>
      <c r="E5">
        <v>141800000</v>
      </c>
    </row>
    <row r="6" spans="1:5" x14ac:dyDescent="0.3">
      <c r="A6" t="s">
        <v>9</v>
      </c>
      <c r="B6">
        <f>B4-B5</f>
        <v>20000000</v>
      </c>
      <c r="C6">
        <f>C4-C5</f>
        <v>24900000</v>
      </c>
      <c r="D6">
        <f>D4-D5</f>
        <v>19600000</v>
      </c>
      <c r="E6">
        <f>E4-E5</f>
        <v>19500000</v>
      </c>
    </row>
    <row r="7" spans="1:5" x14ac:dyDescent="0.3">
      <c r="A7" t="s">
        <v>10</v>
      </c>
      <c r="B7">
        <v>5000000</v>
      </c>
      <c r="C7">
        <v>5400000</v>
      </c>
      <c r="D7">
        <v>6100000</v>
      </c>
      <c r="E7">
        <v>6200000</v>
      </c>
    </row>
    <row r="8" spans="1:5" x14ac:dyDescent="0.3">
      <c r="A8" t="s">
        <v>11</v>
      </c>
      <c r="B8">
        <v>2000000</v>
      </c>
      <c r="C8">
        <v>2500000</v>
      </c>
      <c r="D8">
        <v>3900000</v>
      </c>
      <c r="E8">
        <v>4400000</v>
      </c>
    </row>
    <row r="9" spans="1:5" x14ac:dyDescent="0.3">
      <c r="A9" t="s">
        <v>12</v>
      </c>
      <c r="B9">
        <f>B6-B7-B8</f>
        <v>13000000</v>
      </c>
      <c r="C9">
        <f>C6-C7-C8</f>
        <v>17000000</v>
      </c>
      <c r="D9">
        <f>D6-D7-D8</f>
        <v>9600000</v>
      </c>
      <c r="E9">
        <f>E6-E7-E8</f>
        <v>8900000</v>
      </c>
    </row>
    <row r="10" spans="1:5" x14ac:dyDescent="0.3">
      <c r="A10" t="s">
        <v>13</v>
      </c>
      <c r="B10" s="2">
        <v>3000000</v>
      </c>
      <c r="C10" s="2">
        <v>4000000</v>
      </c>
      <c r="D10" s="2">
        <v>2500000</v>
      </c>
      <c r="E10" s="2">
        <v>2300000</v>
      </c>
    </row>
    <row r="11" spans="1:5" x14ac:dyDescent="0.3">
      <c r="A11" t="s">
        <v>14</v>
      </c>
      <c r="B11">
        <f>B9-B10</f>
        <v>10000000</v>
      </c>
      <c r="C11">
        <f>C9-C10</f>
        <v>13000000</v>
      </c>
      <c r="D11">
        <f>D9-D10</f>
        <v>7100000</v>
      </c>
      <c r="E11">
        <f>E9-E10</f>
        <v>6600000</v>
      </c>
    </row>
    <row r="12" spans="1:5" x14ac:dyDescent="0.3">
      <c r="A12" t="s">
        <v>15</v>
      </c>
      <c r="B12" t="s">
        <v>15</v>
      </c>
      <c r="C12" t="s">
        <v>15</v>
      </c>
      <c r="D12" t="s">
        <v>15</v>
      </c>
      <c r="E12" t="s">
        <v>15</v>
      </c>
    </row>
    <row r="13" spans="1:5" x14ac:dyDescent="0.3">
      <c r="A13" t="s">
        <v>16</v>
      </c>
      <c r="B13">
        <v>45000000</v>
      </c>
      <c r="C13">
        <v>50000000</v>
      </c>
      <c r="D13">
        <v>48100000</v>
      </c>
      <c r="E13">
        <v>52300000</v>
      </c>
    </row>
    <row r="14" spans="1:5" x14ac:dyDescent="0.3">
      <c r="A14" t="s">
        <v>17</v>
      </c>
      <c r="B14">
        <v>30000000</v>
      </c>
      <c r="C14">
        <v>35000000</v>
      </c>
      <c r="D14">
        <v>39800000</v>
      </c>
      <c r="E14">
        <v>41900000</v>
      </c>
    </row>
    <row r="15" spans="1:5" x14ac:dyDescent="0.3">
      <c r="A15" t="s">
        <v>18</v>
      </c>
      <c r="B15" s="3">
        <f>B13/B14</f>
        <v>1.5</v>
      </c>
      <c r="C15" s="3">
        <f>C13/C14</f>
        <v>1.4285714285714286</v>
      </c>
      <c r="D15" s="3">
        <f>D13/D14</f>
        <v>1.2085427135678393</v>
      </c>
      <c r="E15" s="3">
        <f>E13/E14</f>
        <v>1.2482100238663485</v>
      </c>
    </row>
    <row r="16" spans="1:5" x14ac:dyDescent="0.3">
      <c r="A16" t="s">
        <v>15</v>
      </c>
      <c r="B16" t="s">
        <v>15</v>
      </c>
      <c r="C16" t="s">
        <v>15</v>
      </c>
      <c r="D16" t="s">
        <v>15</v>
      </c>
      <c r="E16" t="s">
        <v>15</v>
      </c>
    </row>
    <row r="17" spans="1:5" x14ac:dyDescent="0.3">
      <c r="A17" t="s">
        <v>19</v>
      </c>
      <c r="B17">
        <v>200000000</v>
      </c>
      <c r="C17">
        <v>220000000</v>
      </c>
      <c r="D17">
        <v>241500000</v>
      </c>
      <c r="E17">
        <v>251800000</v>
      </c>
    </row>
    <row r="18" spans="1:5" x14ac:dyDescent="0.3">
      <c r="A18" t="s">
        <v>20</v>
      </c>
      <c r="B18">
        <v>60000000</v>
      </c>
      <c r="C18">
        <v>65000000</v>
      </c>
      <c r="D18">
        <v>85200000</v>
      </c>
      <c r="E18">
        <v>89700000</v>
      </c>
    </row>
    <row r="19" spans="1:5" x14ac:dyDescent="0.3">
      <c r="A19" t="s">
        <v>21</v>
      </c>
      <c r="B19">
        <v>140000000</v>
      </c>
      <c r="C19">
        <v>155000000</v>
      </c>
      <c r="D19">
        <v>156300000</v>
      </c>
      <c r="E19">
        <v>162100000</v>
      </c>
    </row>
    <row r="21" spans="1:5" x14ac:dyDescent="0.3">
      <c r="A21" s="1" t="s">
        <v>22</v>
      </c>
    </row>
    <row r="22" spans="1:5" x14ac:dyDescent="0.3">
      <c r="A22" t="s">
        <v>23</v>
      </c>
      <c r="B22" s="2">
        <f>B13-B14</f>
        <v>15000000</v>
      </c>
      <c r="C22" s="2">
        <f>C13-C14</f>
        <v>15000000</v>
      </c>
      <c r="D22" s="2">
        <f>D13-D14</f>
        <v>8300000</v>
      </c>
      <c r="E22" s="2">
        <f>E13-E14</f>
        <v>10400000</v>
      </c>
    </row>
    <row r="23" spans="1:5" x14ac:dyDescent="0.3">
      <c r="A23" t="s">
        <v>24</v>
      </c>
      <c r="B23" s="4">
        <f>B6/B2</f>
        <v>4.878048780487805E-2</v>
      </c>
      <c r="C23" s="4">
        <f>C6/C2</f>
        <v>5.490628445424476E-2</v>
      </c>
      <c r="D23" s="4">
        <f>D6/D2</f>
        <v>4.0995607613469986E-2</v>
      </c>
      <c r="E23" s="4">
        <f>E6/E2</f>
        <v>3.8813694267515922E-2</v>
      </c>
    </row>
    <row r="24" spans="1:5" x14ac:dyDescent="0.3">
      <c r="A24" t="s">
        <v>25</v>
      </c>
      <c r="B24" s="4">
        <f>B11/B2</f>
        <v>2.4390243902439025E-2</v>
      </c>
      <c r="C24" s="4">
        <f>C11/C2</f>
        <v>2.8665931642778392E-2</v>
      </c>
      <c r="D24" s="4">
        <f>D11/D2</f>
        <v>1.4850449696716167E-2</v>
      </c>
      <c r="E24" s="4">
        <f>E11/E2</f>
        <v>1.3136942675159236E-2</v>
      </c>
    </row>
    <row r="25" spans="1:5" x14ac:dyDescent="0.3">
      <c r="A25" t="s">
        <v>26</v>
      </c>
      <c r="C25" s="4">
        <f>(C2-B2)/B2</f>
        <v>0.10609756097560975</v>
      </c>
      <c r="D25" s="4">
        <f>(D2-C2)/C2</f>
        <v>5.4244762954796029E-2</v>
      </c>
      <c r="E25" s="4">
        <f>(E2-D2)/D2</f>
        <v>5.0826186990169421E-2</v>
      </c>
    </row>
    <row r="26" spans="1:5" x14ac:dyDescent="0.3">
      <c r="A26" t="s">
        <v>27</v>
      </c>
      <c r="B26" s="3">
        <f>B18/B19</f>
        <v>0.42857142857142855</v>
      </c>
      <c r="C26" s="3">
        <f>C18/C19</f>
        <v>0.41935483870967744</v>
      </c>
      <c r="D26" s="3">
        <f>D18/D19</f>
        <v>0.54510556621881001</v>
      </c>
      <c r="E26" s="3">
        <f>E18/E19</f>
        <v>0.5533621221468229</v>
      </c>
    </row>
    <row r="27" spans="1:5" x14ac:dyDescent="0.3">
      <c r="A27" t="s">
        <v>28</v>
      </c>
      <c r="B27" s="4">
        <f>B11/B19</f>
        <v>7.1428571428571425E-2</v>
      </c>
      <c r="C27" s="4">
        <f>C11/C19</f>
        <v>8.387096774193549E-2</v>
      </c>
      <c r="D27" s="4">
        <f>D11/D19</f>
        <v>4.5425463851567496E-2</v>
      </c>
      <c r="E27" s="4">
        <f>E11/E19</f>
        <v>4.0715607649599014E-2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Thompson</dc:creator>
  <cp:lastModifiedBy>user</cp:lastModifiedBy>
  <dcterms:created xsi:type="dcterms:W3CDTF">2026-08-20T09:30:00Z</dcterms:created>
  <dcterms:modified xsi:type="dcterms:W3CDTF">2026-09-12T10:46:27Z</dcterms:modified>
</cp:coreProperties>
</file>